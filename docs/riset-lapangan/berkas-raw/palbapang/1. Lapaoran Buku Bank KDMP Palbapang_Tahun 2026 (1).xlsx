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1f7261dde601367/Dokumen/BA_2026/Laporan BA/KDMP Palbapang/"/>
    </mc:Choice>
  </mc:AlternateContent>
  <xr:revisionPtr revIDLastSave="1100" documentId="11_E0115C75C884F302A2A2E34A783F8B71393813DD" xr6:coauthVersionLast="47" xr6:coauthVersionMax="47" xr10:uidLastSave="{D954A5A0-6D65-4DE5-82AF-0A105E23CC38}"/>
  <bookViews>
    <workbookView xWindow="-110" yWindow="-110" windowWidth="19420" windowHeight="11500" activeTab="4" xr2:uid="{00000000-000D-0000-FFFF-FFFF00000000}"/>
  </bookViews>
  <sheets>
    <sheet name="Januari" sheetId="5" r:id="rId1"/>
    <sheet name="Pebruari" sheetId="8" r:id="rId2"/>
    <sheet name="Maret" sheetId="11" r:id="rId3"/>
    <sheet name="April" sheetId="12" r:id="rId4"/>
    <sheet name="Mei" sheetId="13" r:id="rId5"/>
    <sheet name="Juni " sheetId="14" r:id="rId6"/>
    <sheet name="Juli" sheetId="15" r:id="rId7"/>
    <sheet name="Agustus" sheetId="16" r:id="rId8"/>
    <sheet name="September" sheetId="17" r:id="rId9"/>
    <sheet name="Oktober " sheetId="18" r:id="rId10"/>
    <sheet name="Nopember " sheetId="19" r:id="rId11"/>
    <sheet name="Desember" sheetId="2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4" l="1"/>
  <c r="E18" i="14"/>
  <c r="I47" i="20"/>
  <c r="F45" i="20"/>
  <c r="E45" i="20"/>
  <c r="J44" i="20"/>
  <c r="I44" i="20"/>
  <c r="K44" i="20" s="1"/>
  <c r="I47" i="19"/>
  <c r="F45" i="19"/>
  <c r="G45" i="19" s="1"/>
  <c r="E45" i="19"/>
  <c r="J44" i="19"/>
  <c r="I44" i="19"/>
  <c r="K44" i="19" s="1"/>
  <c r="I47" i="18"/>
  <c r="F45" i="18"/>
  <c r="G45" i="18" s="1"/>
  <c r="E45" i="18"/>
  <c r="J44" i="18"/>
  <c r="I44" i="18"/>
  <c r="K44" i="18" s="1"/>
  <c r="I47" i="17"/>
  <c r="F45" i="17"/>
  <c r="G45" i="17" s="1"/>
  <c r="E45" i="17"/>
  <c r="J44" i="17"/>
  <c r="I44" i="17"/>
  <c r="K44" i="17" s="1"/>
  <c r="I47" i="16"/>
  <c r="F45" i="16"/>
  <c r="G45" i="16" s="1"/>
  <c r="E45" i="16"/>
  <c r="J44" i="16"/>
  <c r="I44" i="16"/>
  <c r="K44" i="16" s="1"/>
  <c r="I47" i="15"/>
  <c r="F45" i="15"/>
  <c r="G45" i="15" s="1"/>
  <c r="E45" i="15"/>
  <c r="J44" i="15"/>
  <c r="I44" i="15"/>
  <c r="K44" i="15" s="1"/>
  <c r="I20" i="14"/>
  <c r="F18" i="14"/>
  <c r="I23" i="13"/>
  <c r="F21" i="13"/>
  <c r="E21" i="13"/>
  <c r="I22" i="12"/>
  <c r="F20" i="12"/>
  <c r="E20" i="12"/>
  <c r="I12" i="11"/>
  <c r="F10" i="11"/>
  <c r="E10" i="11"/>
  <c r="F46" i="5"/>
  <c r="G46" i="5"/>
  <c r="E46" i="5"/>
  <c r="G45" i="5"/>
  <c r="F45" i="5"/>
  <c r="E45" i="5"/>
  <c r="F9" i="8"/>
  <c r="G9" i="8" s="1"/>
  <c r="E9" i="8"/>
  <c r="I11" i="8"/>
  <c r="I44" i="5"/>
  <c r="K44" i="5" s="1"/>
  <c r="J44" i="5"/>
  <c r="I47" i="5"/>
  <c r="G18" i="14" l="1"/>
  <c r="G21" i="13"/>
  <c r="G20" i="12"/>
  <c r="F47" i="5"/>
  <c r="F5" i="8" s="1"/>
  <c r="F10" i="8" s="1"/>
  <c r="F11" i="8" s="1"/>
  <c r="F5" i="11" s="1"/>
  <c r="F11" i="11" s="1"/>
  <c r="F12" i="11" s="1"/>
  <c r="F5" i="12" s="1"/>
  <c r="F21" i="12" s="1"/>
  <c r="F22" i="12" s="1"/>
  <c r="F5" i="13" s="1"/>
  <c r="F22" i="13" s="1"/>
  <c r="F23" i="13" s="1"/>
  <c r="F5" i="14" s="1"/>
  <c r="F19" i="14" s="1"/>
  <c r="F20" i="14" s="1"/>
  <c r="F5" i="15" s="1"/>
  <c r="F46" i="15" s="1"/>
  <c r="F47" i="15" s="1"/>
  <c r="F5" i="16" s="1"/>
  <c r="F46" i="16" s="1"/>
  <c r="F47" i="16" s="1"/>
  <c r="F5" i="17" s="1"/>
  <c r="F46" i="17" s="1"/>
  <c r="F47" i="17" s="1"/>
  <c r="F5" i="18" s="1"/>
  <c r="F46" i="18" s="1"/>
  <c r="F47" i="18" s="1"/>
  <c r="G45" i="20"/>
  <c r="G10" i="11"/>
  <c r="G6" i="5"/>
  <c r="G7" i="5" s="1"/>
  <c r="G8" i="5" s="1"/>
  <c r="G9" i="5" s="1"/>
  <c r="G10" i="5" s="1"/>
  <c r="G11" i="5" s="1"/>
  <c r="G12" i="5" s="1"/>
  <c r="G13" i="5" s="1"/>
  <c r="G14" i="5" s="1"/>
  <c r="I5" i="5"/>
  <c r="E47" i="5"/>
  <c r="E5" i="8" s="1"/>
  <c r="E10" i="8" s="1"/>
  <c r="E11" i="8" s="1"/>
  <c r="E5" i="11" s="1"/>
  <c r="E11" i="11" s="1"/>
  <c r="E12" i="11" s="1"/>
  <c r="E5" i="12" s="1"/>
  <c r="E21" i="12" s="1"/>
  <c r="E22" i="12" s="1"/>
  <c r="E5" i="13" s="1"/>
  <c r="E22" i="13" s="1"/>
  <c r="E23" i="13" s="1"/>
  <c r="E5" i="14" s="1"/>
  <c r="E19" i="14" s="1"/>
  <c r="E20" i="14" s="1"/>
  <c r="E5" i="15" s="1"/>
  <c r="E46" i="15" s="1"/>
  <c r="E47" i="15" s="1"/>
  <c r="E5" i="16" s="1"/>
  <c r="E46" i="16" s="1"/>
  <c r="E47" i="16" s="1"/>
  <c r="E5" i="17" s="1"/>
  <c r="E46" i="17" s="1"/>
  <c r="E47" i="17" s="1"/>
  <c r="E5" i="18" s="1"/>
  <c r="E46" i="18" s="1"/>
  <c r="E47" i="18" s="1"/>
  <c r="G47" i="5"/>
  <c r="G5" i="8" s="1"/>
  <c r="G10" i="8" l="1"/>
  <c r="G11" i="8" s="1"/>
  <c r="G5" i="11" s="1"/>
  <c r="G6" i="11" s="1"/>
  <c r="G7" i="11" s="1"/>
  <c r="G8" i="11" s="1"/>
  <c r="G9" i="11" s="1"/>
  <c r="G6" i="8"/>
  <c r="G7" i="8" s="1"/>
  <c r="G8" i="8" s="1"/>
  <c r="F5" i="19"/>
  <c r="F46" i="19" s="1"/>
  <c r="F47" i="19" s="1"/>
  <c r="F5" i="20"/>
  <c r="F46" i="20" s="1"/>
  <c r="F47" i="20" s="1"/>
  <c r="I5" i="8"/>
  <c r="E5" i="19"/>
  <c r="E46" i="19" s="1"/>
  <c r="E47" i="19" s="1"/>
  <c r="E5" i="20"/>
  <c r="E46" i="20" s="1"/>
  <c r="E47" i="20" s="1"/>
  <c r="G11" i="11" l="1"/>
  <c r="G12" i="11" s="1"/>
  <c r="G5" i="12" s="1"/>
  <c r="G6" i="12" s="1"/>
  <c r="G7" i="12" s="1"/>
  <c r="G8" i="12" s="1"/>
  <c r="G9" i="12" s="1"/>
  <c r="G10" i="12" s="1"/>
  <c r="G11" i="12" s="1"/>
  <c r="G12" i="12" s="1"/>
  <c r="G13" i="12" s="1"/>
  <c r="G14" i="12" s="1"/>
  <c r="G15" i="12" s="1"/>
  <c r="G16" i="12" s="1"/>
  <c r="G17" i="12" s="1"/>
  <c r="G18" i="12" s="1"/>
  <c r="G19" i="12" s="1"/>
  <c r="I5" i="11"/>
  <c r="G21" i="12" l="1"/>
  <c r="G22" i="12" s="1"/>
  <c r="G5" i="13" s="1"/>
  <c r="G6" i="13" s="1"/>
  <c r="G7" i="13" s="1"/>
  <c r="G8" i="13" s="1"/>
  <c r="G9" i="13" s="1"/>
  <c r="G10" i="13" s="1"/>
  <c r="G11" i="13" s="1"/>
  <c r="G12" i="13" s="1"/>
  <c r="G13" i="13" s="1"/>
  <c r="G14" i="13" s="1"/>
  <c r="G15" i="13" s="1"/>
  <c r="G16" i="13" s="1"/>
  <c r="G17" i="13" s="1"/>
  <c r="G18" i="13" s="1"/>
  <c r="G19" i="13" s="1"/>
  <c r="G20" i="13" s="1"/>
  <c r="I5" i="12"/>
  <c r="G22" i="13" l="1"/>
  <c r="G23" i="13" s="1"/>
  <c r="G5" i="14" s="1"/>
  <c r="G6" i="14" s="1"/>
  <c r="G7" i="14" s="1"/>
  <c r="G8" i="14" s="1"/>
  <c r="G9" i="14" s="1"/>
  <c r="G10" i="14" s="1"/>
  <c r="G11" i="14" s="1"/>
  <c r="G12" i="14" s="1"/>
  <c r="G13" i="14" s="1"/>
  <c r="G14" i="14" s="1"/>
  <c r="G15" i="14" s="1"/>
  <c r="G17" i="14" s="1"/>
  <c r="I5" i="13"/>
  <c r="I5" i="14" l="1"/>
  <c r="G19" i="14"/>
  <c r="G20" i="14" s="1"/>
  <c r="G5" i="15" s="1"/>
  <c r="I5" i="15" l="1"/>
  <c r="G46" i="15"/>
  <c r="G47" i="15" s="1"/>
  <c r="G5" i="16" s="1"/>
  <c r="G46" i="16" l="1"/>
  <c r="G47" i="16" s="1"/>
  <c r="G5" i="17" s="1"/>
  <c r="I5" i="16"/>
  <c r="I5" i="17" l="1"/>
  <c r="G46" i="17"/>
  <c r="G47" i="17" s="1"/>
  <c r="G5" i="18" s="1"/>
  <c r="G46" i="18" l="1"/>
  <c r="G47" i="18" s="1"/>
  <c r="I5" i="18"/>
  <c r="G5" i="19" l="1"/>
  <c r="G5" i="20"/>
  <c r="G46" i="19" l="1"/>
  <c r="G47" i="19" s="1"/>
  <c r="I5" i="19"/>
  <c r="I5" i="20"/>
  <c r="G46" i="20"/>
  <c r="G47" i="20" s="1"/>
</calcChain>
</file>

<file path=xl/sharedStrings.xml><?xml version="1.0" encoding="utf-8"?>
<sst xmlns="http://schemas.openxmlformats.org/spreadsheetml/2006/main" count="261" uniqueCount="71">
  <si>
    <t>No</t>
  </si>
  <si>
    <t>Tanggal</t>
  </si>
  <si>
    <t>Uraian Transaksi</t>
  </si>
  <si>
    <t>Saldo (Rp)</t>
  </si>
  <si>
    <t>Keterangan</t>
  </si>
  <si>
    <t xml:space="preserve">Transaksi Bulan ini </t>
  </si>
  <si>
    <t>Jumlah Transaksi Sampai Bulan ini</t>
  </si>
  <si>
    <t xml:space="preserve">Total Transaksi Sampai Bulan ini </t>
  </si>
  <si>
    <t xml:space="preserve">BUKU BANK  </t>
  </si>
  <si>
    <t>Debet (Rp)</t>
  </si>
  <si>
    <t>Kredit (Rp)</t>
  </si>
  <si>
    <t>Bukti</t>
  </si>
  <si>
    <t>KOPERASI DESA MERAH PUTIH (KDMP) KALURAHAN  PALBAPANG</t>
  </si>
  <si>
    <t>Bendahara</t>
  </si>
  <si>
    <t>Saldo Bulan Lalu</t>
  </si>
  <si>
    <t>Setoran anggota</t>
  </si>
  <si>
    <t>Periode 31 Januari 2026</t>
  </si>
  <si>
    <t>Saldo Bank Bulan Lalu</t>
  </si>
  <si>
    <t xml:space="preserve">Transfer </t>
  </si>
  <si>
    <t>Biaya administrasi Bank</t>
  </si>
  <si>
    <t>Bantul , 31 Januari  2026</t>
  </si>
  <si>
    <t>Periode 31 Maret 2026</t>
  </si>
  <si>
    <t>Periode 28 Pebruari 2026</t>
  </si>
  <si>
    <t>Bantul , 28 Pebruari 2026</t>
  </si>
  <si>
    <t>Bantul , 31 Maret 2026</t>
  </si>
  <si>
    <t>Bantul , 30 April 2026</t>
  </si>
  <si>
    <t>Bantul , 31 Mei 2026</t>
  </si>
  <si>
    <t>Periode 31  Mei  2026</t>
  </si>
  <si>
    <t>Periode 30 april  2026</t>
  </si>
  <si>
    <t>Bantul , 30 Juni 2026</t>
  </si>
  <si>
    <t>Bantul , 31 Juli 2026</t>
  </si>
  <si>
    <t>Periode 31 Juli   2026</t>
  </si>
  <si>
    <t>Periode 31 Juli  2026</t>
  </si>
  <si>
    <t>Periode 31 Agustus 2026</t>
  </si>
  <si>
    <t>Bantul , 31 Agustus  2026</t>
  </si>
  <si>
    <t>Bantul , 30 September  2026</t>
  </si>
  <si>
    <t>Periode 30 September 2026</t>
  </si>
  <si>
    <t>Periode 31 Oktober  2026</t>
  </si>
  <si>
    <t>Periode 30 Nopember   2026</t>
  </si>
  <si>
    <t>Bantul , 30 Nopember   2026</t>
  </si>
  <si>
    <t>Bantul , 31 Oktober 2026</t>
  </si>
  <si>
    <t>Periode 31 Desember   2026</t>
  </si>
  <si>
    <t>Bantul , 31 Desember 2026</t>
  </si>
  <si>
    <t>admin bank</t>
  </si>
  <si>
    <t>Simpanan Anggota</t>
  </si>
  <si>
    <t>Admin Bank</t>
  </si>
  <si>
    <t>Beli pulsa brilink</t>
  </si>
  <si>
    <t>Admin brilink</t>
  </si>
  <si>
    <t>Fee brilink</t>
  </si>
  <si>
    <t>Transaksi brilink</t>
  </si>
  <si>
    <t>fee admin</t>
  </si>
  <si>
    <t>profit brilink</t>
  </si>
  <si>
    <t>Fee pisang</t>
  </si>
  <si>
    <t>Simpanan pokok anggota</t>
  </si>
  <si>
    <t>Admin bank</t>
  </si>
  <si>
    <t xml:space="preserve">Brilink </t>
  </si>
  <si>
    <t>admin brilink</t>
  </si>
  <si>
    <t>Setor sutawar</t>
  </si>
  <si>
    <t>laba brilink</t>
  </si>
  <si>
    <t xml:space="preserve">Fee pisang </t>
  </si>
  <si>
    <t>Setoran tunai buku tabungan</t>
  </si>
  <si>
    <t>fee pisang</t>
  </si>
  <si>
    <t>Brilink</t>
  </si>
  <si>
    <t>Ops RAT dari Kalurahan</t>
  </si>
  <si>
    <t>Admin Brilink</t>
  </si>
  <si>
    <t>Laba Brilink</t>
  </si>
  <si>
    <t xml:space="preserve">Fee Pisang </t>
  </si>
  <si>
    <t xml:space="preserve">Tarik Tunai Simpanan </t>
  </si>
  <si>
    <t>Simpanan Pokok Anggota</t>
  </si>
  <si>
    <t>Traksaksi brilink</t>
  </si>
  <si>
    <t>Brilink setor tunai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</si>
</sst>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[$-421]dd\ mmmm\ yyyy;@"/>
    <numFmt numFmtId="165" formatCode="dd/mm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44" fontId="0" fillId="3" borderId="1" xfId="1" applyFont="1" applyFill="1" applyBorder="1"/>
    <xf numFmtId="43" fontId="0" fillId="0" borderId="0" xfId="2" applyFont="1"/>
    <xf numFmtId="44" fontId="0" fillId="4" borderId="1" xfId="1" applyFont="1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44" fontId="0" fillId="4" borderId="1" xfId="0" applyNumberFormat="1" applyFill="1" applyBorder="1" applyAlignment="1">
      <alignment vertical="center"/>
    </xf>
    <xf numFmtId="0" fontId="0" fillId="4" borderId="0" xfId="0" applyFill="1" applyAlignment="1">
      <alignment vertical="center"/>
    </xf>
    <xf numFmtId="0" fontId="0" fillId="4" borderId="1" xfId="0" applyFill="1" applyBorder="1" applyAlignment="1">
      <alignment horizontal="center"/>
    </xf>
    <xf numFmtId="0" fontId="0" fillId="4" borderId="0" xfId="0" applyFill="1"/>
    <xf numFmtId="0" fontId="0" fillId="4" borderId="1" xfId="0" applyFill="1" applyBorder="1"/>
    <xf numFmtId="164" fontId="0" fillId="4" borderId="1" xfId="0" applyNumberFormat="1" applyFill="1" applyBorder="1"/>
    <xf numFmtId="44" fontId="0" fillId="4" borderId="0" xfId="0" applyNumberFormat="1" applyFill="1"/>
    <xf numFmtId="44" fontId="0" fillId="4" borderId="0" xfId="0" applyNumberFormat="1" applyFill="1" applyAlignment="1">
      <alignment vertical="center"/>
    </xf>
    <xf numFmtId="164" fontId="0" fillId="4" borderId="1" xfId="0" applyNumberFormat="1" applyFill="1" applyBorder="1" applyAlignment="1">
      <alignment vertical="center"/>
    </xf>
    <xf numFmtId="165" fontId="0" fillId="4" borderId="1" xfId="0" applyNumberForma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44" fontId="5" fillId="2" borderId="1" xfId="0" applyNumberFormat="1" applyFont="1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43" fontId="0" fillId="4" borderId="1" xfId="2" applyFont="1" applyFill="1" applyBorder="1"/>
    <xf numFmtId="0" fontId="0" fillId="0" borderId="0" xfId="0" applyAlignment="1">
      <alignment horizontal="center"/>
    </xf>
    <xf numFmtId="0" fontId="5" fillId="3" borderId="2" xfId="0" applyFont="1" applyFill="1" applyBorder="1" applyAlignment="1">
      <alignment horizontal="right"/>
    </xf>
    <xf numFmtId="0" fontId="5" fillId="3" borderId="3" xfId="0" applyFont="1" applyFill="1" applyBorder="1" applyAlignment="1">
      <alignment horizontal="right"/>
    </xf>
    <xf numFmtId="0" fontId="5" fillId="3" borderId="4" xfId="0" applyFont="1" applyFill="1" applyBorder="1" applyAlignment="1">
      <alignment horizontal="right"/>
    </xf>
    <xf numFmtId="0" fontId="3" fillId="0" borderId="0" xfId="0" applyFont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4" xfId="0" applyFill="1" applyBorder="1"/>
  </cellXfs>
  <cellStyles count="3">
    <cellStyle name="Koma" xfId="2" builtinId="3"/>
    <cellStyle name="Mata Uang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874DD-8EA0-45FE-90E9-C98B873DB1B4}">
  <sheetPr>
    <tabColor rgb="FF00B050"/>
  </sheetPr>
  <dimension ref="A1:K50"/>
  <sheetViews>
    <sheetView zoomScale="130" workbookViewId="0">
      <selection activeCell="E5" sqref="E5"/>
    </sheetView>
  </sheetViews>
  <sheetFormatPr defaultRowHeight="14.5" x14ac:dyDescent="0.35"/>
  <cols>
    <col min="1" max="1" width="5" customWidth="1"/>
    <col min="2" max="2" width="13.54296875" customWidth="1"/>
    <col min="3" max="3" width="42.7265625" customWidth="1"/>
    <col min="4" max="4" width="7" customWidth="1"/>
    <col min="5" max="5" width="16.6328125" customWidth="1"/>
    <col min="6" max="6" width="16.54296875" customWidth="1"/>
    <col min="7" max="7" width="16.6328125" customWidth="1"/>
    <col min="8" max="8" width="11.6328125" customWidth="1"/>
    <col min="9" max="9" width="14.90625" bestFit="1" customWidth="1"/>
    <col min="11" max="11" width="12.26953125" bestFit="1" customWidth="1"/>
  </cols>
  <sheetData>
    <row r="1" spans="1:9" ht="15.5" x14ac:dyDescent="0.35">
      <c r="A1" s="31" t="s">
        <v>12</v>
      </c>
      <c r="B1" s="31"/>
      <c r="C1" s="31"/>
      <c r="D1" s="31"/>
      <c r="E1" s="31"/>
      <c r="F1" s="31"/>
      <c r="G1" s="31"/>
      <c r="H1" s="31"/>
    </row>
    <row r="2" spans="1:9" ht="15.5" x14ac:dyDescent="0.35">
      <c r="A2" s="31" t="s">
        <v>8</v>
      </c>
      <c r="B2" s="31"/>
      <c r="C2" s="31"/>
      <c r="D2" s="31"/>
      <c r="E2" s="31"/>
      <c r="F2" s="31"/>
      <c r="G2" s="31"/>
      <c r="H2" s="31"/>
    </row>
    <row r="3" spans="1:9" ht="15.5" x14ac:dyDescent="0.35">
      <c r="A3" s="31" t="s">
        <v>16</v>
      </c>
      <c r="B3" s="31"/>
      <c r="C3" s="31"/>
      <c r="D3" s="31"/>
      <c r="E3" s="31"/>
      <c r="F3" s="31"/>
      <c r="G3" s="31"/>
      <c r="H3" s="31"/>
    </row>
    <row r="4" spans="1:9" ht="15.5" x14ac:dyDescent="0.35">
      <c r="A4" s="2" t="s">
        <v>0</v>
      </c>
      <c r="B4" s="2" t="s">
        <v>1</v>
      </c>
      <c r="C4" s="2" t="s">
        <v>2</v>
      </c>
      <c r="D4" s="2" t="s">
        <v>11</v>
      </c>
      <c r="E4" s="2" t="s">
        <v>9</v>
      </c>
      <c r="F4" s="2" t="s">
        <v>10</v>
      </c>
      <c r="G4" s="2" t="s">
        <v>3</v>
      </c>
      <c r="H4" s="2" t="s">
        <v>4</v>
      </c>
    </row>
    <row r="5" spans="1:9" s="11" customFormat="1" x14ac:dyDescent="0.35">
      <c r="A5" s="25">
        <v>1</v>
      </c>
      <c r="B5" s="20">
        <v>46023</v>
      </c>
      <c r="C5" s="21" t="s">
        <v>17</v>
      </c>
      <c r="D5" s="22"/>
      <c r="E5" s="23">
        <v>18000</v>
      </c>
      <c r="F5" s="23">
        <v>8042000</v>
      </c>
      <c r="G5" s="23">
        <v>8024000</v>
      </c>
      <c r="H5" s="21"/>
      <c r="I5" s="17">
        <f>G5*5%</f>
        <v>401200</v>
      </c>
    </row>
    <row r="6" spans="1:9" s="13" customFormat="1" x14ac:dyDescent="0.35">
      <c r="A6" s="12">
        <v>2</v>
      </c>
      <c r="B6" s="19">
        <v>46024</v>
      </c>
      <c r="C6" s="8" t="s">
        <v>15</v>
      </c>
      <c r="D6" s="9"/>
      <c r="E6" s="10"/>
      <c r="F6" s="10">
        <v>120000</v>
      </c>
      <c r="G6" s="10">
        <f>F6+G5-E6</f>
        <v>8144000</v>
      </c>
      <c r="H6" s="9"/>
    </row>
    <row r="7" spans="1:9" s="13" customFormat="1" x14ac:dyDescent="0.35">
      <c r="A7" s="12">
        <v>3</v>
      </c>
      <c r="B7" s="19">
        <v>46024</v>
      </c>
      <c r="C7" s="8" t="s">
        <v>15</v>
      </c>
      <c r="D7" s="14"/>
      <c r="E7" s="6"/>
      <c r="F7" s="6">
        <v>100000</v>
      </c>
      <c r="G7" s="10">
        <f t="shared" ref="G7:G14" si="0">F7+G6-E7</f>
        <v>8244000</v>
      </c>
      <c r="H7" s="14"/>
    </row>
    <row r="8" spans="1:9" s="13" customFormat="1" x14ac:dyDescent="0.35">
      <c r="A8" s="12">
        <v>4</v>
      </c>
      <c r="B8" s="19">
        <v>46025</v>
      </c>
      <c r="C8" s="8" t="s">
        <v>15</v>
      </c>
      <c r="D8" s="14"/>
      <c r="E8" s="6"/>
      <c r="F8" s="6">
        <v>100000</v>
      </c>
      <c r="G8" s="10">
        <f t="shared" si="0"/>
        <v>8344000</v>
      </c>
      <c r="H8" s="14"/>
    </row>
    <row r="9" spans="1:9" s="13" customFormat="1" x14ac:dyDescent="0.35">
      <c r="A9" s="12">
        <v>5</v>
      </c>
      <c r="B9" s="19">
        <v>46028</v>
      </c>
      <c r="C9" s="14" t="s">
        <v>18</v>
      </c>
      <c r="D9" s="14"/>
      <c r="E9" s="6"/>
      <c r="F9" s="6">
        <v>63000</v>
      </c>
      <c r="G9" s="10">
        <f t="shared" si="0"/>
        <v>8407000</v>
      </c>
      <c r="H9" s="14"/>
    </row>
    <row r="10" spans="1:9" s="13" customFormat="1" x14ac:dyDescent="0.35">
      <c r="A10" s="12">
        <v>6</v>
      </c>
      <c r="B10" s="19">
        <v>46030</v>
      </c>
      <c r="C10" s="14" t="s">
        <v>18</v>
      </c>
      <c r="D10" s="14"/>
      <c r="E10" s="6"/>
      <c r="F10" s="6">
        <v>36000</v>
      </c>
      <c r="G10" s="10">
        <f t="shared" si="0"/>
        <v>8443000</v>
      </c>
      <c r="H10" s="14"/>
    </row>
    <row r="11" spans="1:9" s="13" customFormat="1" x14ac:dyDescent="0.35">
      <c r="A11" s="12">
        <v>7</v>
      </c>
      <c r="B11" s="19">
        <v>46030</v>
      </c>
      <c r="C11" s="14" t="s">
        <v>15</v>
      </c>
      <c r="D11" s="14"/>
      <c r="E11" s="6"/>
      <c r="F11" s="6">
        <v>120000</v>
      </c>
      <c r="G11" s="10">
        <f t="shared" si="0"/>
        <v>8563000</v>
      </c>
      <c r="H11" s="14"/>
    </row>
    <row r="12" spans="1:9" s="13" customFormat="1" x14ac:dyDescent="0.35">
      <c r="A12" s="12">
        <v>8</v>
      </c>
      <c r="B12" s="19">
        <v>46035</v>
      </c>
      <c r="C12" s="14" t="s">
        <v>15</v>
      </c>
      <c r="D12" s="14"/>
      <c r="E12" s="6"/>
      <c r="F12" s="6">
        <v>120000</v>
      </c>
      <c r="G12" s="10">
        <f t="shared" si="0"/>
        <v>8683000</v>
      </c>
      <c r="H12" s="14"/>
    </row>
    <row r="13" spans="1:9" s="13" customFormat="1" x14ac:dyDescent="0.35">
      <c r="A13" s="12">
        <v>9</v>
      </c>
      <c r="B13" s="19">
        <v>46038</v>
      </c>
      <c r="C13" s="14" t="s">
        <v>19</v>
      </c>
      <c r="D13" s="14"/>
      <c r="E13" s="6">
        <v>6000</v>
      </c>
      <c r="F13" s="6"/>
      <c r="G13" s="10">
        <f t="shared" si="0"/>
        <v>8677000</v>
      </c>
      <c r="H13" s="14"/>
    </row>
    <row r="14" spans="1:9" s="13" customFormat="1" x14ac:dyDescent="0.35">
      <c r="A14" s="12">
        <v>10</v>
      </c>
      <c r="B14" s="19">
        <v>46051</v>
      </c>
      <c r="C14" s="14" t="s">
        <v>15</v>
      </c>
      <c r="D14" s="14"/>
      <c r="E14" s="6"/>
      <c r="F14" s="6">
        <v>160000</v>
      </c>
      <c r="G14" s="10">
        <f t="shared" si="0"/>
        <v>8837000</v>
      </c>
      <c r="H14" s="14"/>
    </row>
    <row r="15" spans="1:9" s="13" customFormat="1" x14ac:dyDescent="0.35">
      <c r="A15" s="12">
        <v>11</v>
      </c>
      <c r="B15" s="18"/>
      <c r="C15" s="14"/>
      <c r="D15" s="14"/>
      <c r="E15" s="6"/>
      <c r="F15" s="6"/>
      <c r="G15" s="6"/>
      <c r="H15" s="14"/>
    </row>
    <row r="16" spans="1:9" s="13" customFormat="1" x14ac:dyDescent="0.35">
      <c r="A16" s="12">
        <v>12</v>
      </c>
      <c r="B16" s="18"/>
      <c r="C16" s="14"/>
      <c r="D16" s="14"/>
      <c r="E16" s="6"/>
      <c r="F16" s="6"/>
      <c r="G16" s="6"/>
      <c r="H16" s="14"/>
    </row>
    <row r="17" spans="1:8" s="13" customFormat="1" x14ac:dyDescent="0.35">
      <c r="A17" s="12">
        <v>13</v>
      </c>
      <c r="B17" s="18"/>
      <c r="C17" s="14"/>
      <c r="D17" s="14"/>
      <c r="E17" s="6"/>
      <c r="F17" s="6"/>
      <c r="G17" s="6"/>
      <c r="H17" s="14"/>
    </row>
    <row r="18" spans="1:8" s="13" customFormat="1" x14ac:dyDescent="0.35">
      <c r="A18" s="12">
        <v>14</v>
      </c>
      <c r="B18" s="18"/>
      <c r="C18" s="14"/>
      <c r="D18" s="14"/>
      <c r="E18" s="6"/>
      <c r="F18" s="6"/>
      <c r="G18" s="6"/>
      <c r="H18" s="14"/>
    </row>
    <row r="19" spans="1:8" s="13" customFormat="1" x14ac:dyDescent="0.35">
      <c r="A19" s="12">
        <v>15</v>
      </c>
      <c r="B19" s="18"/>
      <c r="C19" s="14"/>
      <c r="D19" s="14"/>
      <c r="E19" s="6"/>
      <c r="F19" s="6"/>
      <c r="G19" s="6"/>
      <c r="H19" s="14"/>
    </row>
    <row r="20" spans="1:8" s="13" customFormat="1" x14ac:dyDescent="0.35">
      <c r="A20" s="12">
        <v>16</v>
      </c>
      <c r="B20" s="18"/>
      <c r="C20" s="14"/>
      <c r="D20" s="14"/>
      <c r="E20" s="6"/>
      <c r="F20" s="6"/>
      <c r="G20" s="6"/>
      <c r="H20" s="14"/>
    </row>
    <row r="21" spans="1:8" s="13" customFormat="1" x14ac:dyDescent="0.35">
      <c r="A21" s="12">
        <v>17</v>
      </c>
      <c r="B21" s="18"/>
      <c r="C21" s="14"/>
      <c r="D21" s="14"/>
      <c r="E21" s="6"/>
      <c r="F21" s="6"/>
      <c r="G21" s="6"/>
      <c r="H21" s="14"/>
    </row>
    <row r="22" spans="1:8" s="13" customFormat="1" x14ac:dyDescent="0.35">
      <c r="A22" s="12">
        <v>18</v>
      </c>
      <c r="B22" s="18"/>
      <c r="C22" s="14"/>
      <c r="D22" s="14"/>
      <c r="E22" s="6"/>
      <c r="F22" s="6"/>
      <c r="G22" s="6"/>
      <c r="H22" s="14"/>
    </row>
    <row r="23" spans="1:8" s="13" customFormat="1" x14ac:dyDescent="0.35">
      <c r="A23" s="12">
        <v>19</v>
      </c>
      <c r="B23" s="18"/>
      <c r="C23" s="14"/>
      <c r="D23" s="14"/>
      <c r="E23" s="6"/>
      <c r="F23" s="6"/>
      <c r="G23" s="6"/>
      <c r="H23" s="14"/>
    </row>
    <row r="24" spans="1:8" s="13" customFormat="1" x14ac:dyDescent="0.35">
      <c r="A24" s="12">
        <v>20</v>
      </c>
      <c r="B24" s="18"/>
      <c r="C24" s="14"/>
      <c r="D24" s="14"/>
      <c r="E24" s="6"/>
      <c r="F24" s="6"/>
      <c r="G24" s="6"/>
      <c r="H24" s="14"/>
    </row>
    <row r="25" spans="1:8" s="13" customFormat="1" x14ac:dyDescent="0.35">
      <c r="A25" s="12">
        <v>21</v>
      </c>
      <c r="B25" s="18"/>
      <c r="C25" s="14"/>
      <c r="D25" s="14"/>
      <c r="E25" s="6"/>
      <c r="F25" s="6"/>
      <c r="G25" s="6"/>
      <c r="H25" s="14"/>
    </row>
    <row r="26" spans="1:8" s="13" customFormat="1" x14ac:dyDescent="0.35">
      <c r="A26" s="12">
        <v>22</v>
      </c>
      <c r="B26" s="18"/>
      <c r="C26" s="14"/>
      <c r="D26" s="14"/>
      <c r="E26" s="6"/>
      <c r="F26" s="6"/>
      <c r="G26" s="6"/>
      <c r="H26" s="14"/>
    </row>
    <row r="27" spans="1:8" s="13" customFormat="1" x14ac:dyDescent="0.35">
      <c r="A27" s="12">
        <v>23</v>
      </c>
      <c r="B27" s="18"/>
      <c r="C27" s="14"/>
      <c r="D27" s="14"/>
      <c r="E27" s="6"/>
      <c r="F27" s="6"/>
      <c r="G27" s="6"/>
      <c r="H27" s="14"/>
    </row>
    <row r="28" spans="1:8" s="13" customFormat="1" x14ac:dyDescent="0.35">
      <c r="A28" s="12">
        <v>24</v>
      </c>
      <c r="B28" s="18"/>
      <c r="C28" s="14"/>
      <c r="D28" s="14"/>
      <c r="E28" s="6"/>
      <c r="F28" s="6"/>
      <c r="G28" s="6"/>
      <c r="H28" s="14"/>
    </row>
    <row r="29" spans="1:8" s="13" customFormat="1" x14ac:dyDescent="0.35">
      <c r="A29" s="12">
        <v>25</v>
      </c>
      <c r="B29" s="18"/>
      <c r="C29" s="14"/>
      <c r="D29" s="14"/>
      <c r="E29" s="6"/>
      <c r="F29" s="6"/>
      <c r="G29" s="6"/>
      <c r="H29" s="14"/>
    </row>
    <row r="30" spans="1:8" s="13" customFormat="1" x14ac:dyDescent="0.35">
      <c r="A30" s="12">
        <v>26</v>
      </c>
      <c r="B30" s="18"/>
      <c r="C30" s="14"/>
      <c r="D30" s="14"/>
      <c r="E30" s="6"/>
      <c r="F30" s="6"/>
      <c r="G30" s="6"/>
      <c r="H30" s="14"/>
    </row>
    <row r="31" spans="1:8" s="13" customFormat="1" x14ac:dyDescent="0.35">
      <c r="A31" s="12">
        <v>27</v>
      </c>
      <c r="B31" s="18"/>
      <c r="C31" s="14"/>
      <c r="D31" s="14"/>
      <c r="E31" s="6"/>
      <c r="F31" s="6"/>
      <c r="G31" s="6"/>
      <c r="H31" s="14"/>
    </row>
    <row r="32" spans="1:8" s="13" customFormat="1" x14ac:dyDescent="0.35">
      <c r="A32" s="12">
        <v>28</v>
      </c>
      <c r="B32" s="18"/>
      <c r="C32" s="14"/>
      <c r="D32" s="14"/>
      <c r="E32" s="6"/>
      <c r="F32" s="6"/>
      <c r="G32" s="6"/>
      <c r="H32" s="14"/>
    </row>
    <row r="33" spans="1:11" s="13" customFormat="1" x14ac:dyDescent="0.35">
      <c r="A33" s="12">
        <v>29</v>
      </c>
      <c r="B33" s="18"/>
      <c r="C33" s="14"/>
      <c r="D33" s="14"/>
      <c r="E33" s="6"/>
      <c r="F33" s="6"/>
      <c r="G33" s="6"/>
      <c r="H33" s="14"/>
    </row>
    <row r="34" spans="1:11" s="13" customFormat="1" x14ac:dyDescent="0.35">
      <c r="A34" s="12">
        <v>30</v>
      </c>
      <c r="B34" s="18"/>
      <c r="C34" s="14"/>
      <c r="D34" s="14"/>
      <c r="E34" s="6"/>
      <c r="F34" s="6"/>
      <c r="G34" s="6"/>
      <c r="H34" s="14"/>
    </row>
    <row r="35" spans="1:11" s="13" customFormat="1" x14ac:dyDescent="0.35">
      <c r="A35" s="12">
        <v>31</v>
      </c>
      <c r="B35" s="18"/>
      <c r="C35" s="14"/>
      <c r="D35" s="14"/>
      <c r="E35" s="6"/>
      <c r="F35" s="6"/>
      <c r="G35" s="6"/>
      <c r="H35" s="14"/>
    </row>
    <row r="36" spans="1:11" s="13" customFormat="1" x14ac:dyDescent="0.35">
      <c r="A36" s="12">
        <v>32</v>
      </c>
      <c r="B36" s="18"/>
      <c r="C36" s="14"/>
      <c r="D36" s="14"/>
      <c r="E36" s="6"/>
      <c r="F36" s="6"/>
      <c r="G36" s="6"/>
      <c r="H36" s="32"/>
    </row>
    <row r="37" spans="1:11" s="13" customFormat="1" x14ac:dyDescent="0.35">
      <c r="A37" s="12">
        <v>33</v>
      </c>
      <c r="B37" s="18"/>
      <c r="C37" s="14"/>
      <c r="D37" s="14"/>
      <c r="E37" s="6"/>
      <c r="F37" s="6"/>
      <c r="G37" s="6"/>
      <c r="H37" s="33"/>
    </row>
    <row r="38" spans="1:11" s="13" customFormat="1" x14ac:dyDescent="0.35">
      <c r="A38" s="12">
        <v>34</v>
      </c>
      <c r="B38" s="18"/>
      <c r="C38" s="14"/>
      <c r="D38" s="14"/>
      <c r="E38" s="6"/>
      <c r="F38" s="6"/>
      <c r="G38" s="6"/>
      <c r="H38" s="33"/>
    </row>
    <row r="39" spans="1:11" s="13" customFormat="1" x14ac:dyDescent="0.35">
      <c r="A39" s="12">
        <v>35</v>
      </c>
      <c r="B39" s="18"/>
      <c r="C39" s="14"/>
      <c r="D39" s="14"/>
      <c r="E39" s="6"/>
      <c r="F39" s="6"/>
      <c r="G39" s="6"/>
      <c r="H39" s="33"/>
    </row>
    <row r="40" spans="1:11" s="13" customFormat="1" x14ac:dyDescent="0.35">
      <c r="A40" s="12">
        <v>36</v>
      </c>
      <c r="B40" s="18"/>
      <c r="C40" s="14"/>
      <c r="D40" s="14"/>
      <c r="E40" s="6"/>
      <c r="F40" s="6"/>
      <c r="G40" s="6"/>
      <c r="H40" s="33"/>
    </row>
    <row r="41" spans="1:11" s="13" customFormat="1" x14ac:dyDescent="0.35">
      <c r="A41" s="12">
        <v>37</v>
      </c>
      <c r="B41" s="18"/>
      <c r="C41" s="14"/>
      <c r="D41" s="14"/>
      <c r="E41" s="6"/>
      <c r="F41" s="6"/>
      <c r="G41" s="6"/>
      <c r="H41" s="33"/>
    </row>
    <row r="42" spans="1:11" s="13" customFormat="1" x14ac:dyDescent="0.35">
      <c r="A42" s="12">
        <v>38</v>
      </c>
      <c r="B42" s="18"/>
      <c r="C42" s="14"/>
      <c r="D42" s="14"/>
      <c r="E42" s="6"/>
      <c r="F42" s="6"/>
      <c r="G42" s="6"/>
      <c r="H42" s="33"/>
    </row>
    <row r="43" spans="1:11" s="13" customFormat="1" x14ac:dyDescent="0.35">
      <c r="A43" s="12">
        <v>39</v>
      </c>
      <c r="B43" s="18"/>
      <c r="C43" s="14"/>
      <c r="D43" s="14"/>
      <c r="E43" s="6"/>
      <c r="F43" s="6"/>
      <c r="G43" s="6"/>
      <c r="H43" s="34"/>
    </row>
    <row r="44" spans="1:11" s="13" customFormat="1" x14ac:dyDescent="0.35">
      <c r="A44" s="12">
        <v>40</v>
      </c>
      <c r="B44" s="15"/>
      <c r="C44" s="14"/>
      <c r="D44" s="14"/>
      <c r="E44" s="6"/>
      <c r="F44" s="6"/>
      <c r="G44" s="6"/>
      <c r="I44" s="16">
        <f>SUM(E7:E44)</f>
        <v>6000</v>
      </c>
      <c r="J44" s="13">
        <f>1782500</f>
        <v>1782500</v>
      </c>
      <c r="K44" s="16">
        <f>I44-J44</f>
        <v>-1776500</v>
      </c>
    </row>
    <row r="45" spans="1:11" x14ac:dyDescent="0.35">
      <c r="A45" s="28" t="s">
        <v>5</v>
      </c>
      <c r="B45" s="29"/>
      <c r="C45" s="30"/>
      <c r="D45" s="3"/>
      <c r="E45" s="4">
        <f>SUM(E6:E44)</f>
        <v>6000</v>
      </c>
      <c r="F45" s="4">
        <f t="shared" ref="F45" si="1">SUM(F6:F44)</f>
        <v>819000</v>
      </c>
      <c r="G45" s="4">
        <f>F45-E45</f>
        <v>813000</v>
      </c>
      <c r="H45" s="1"/>
    </row>
    <row r="46" spans="1:11" x14ac:dyDescent="0.35">
      <c r="A46" s="28" t="s">
        <v>6</v>
      </c>
      <c r="B46" s="29"/>
      <c r="C46" s="30"/>
      <c r="D46" s="3"/>
      <c r="E46" s="4">
        <f>E5+E45</f>
        <v>24000</v>
      </c>
      <c r="F46" s="4">
        <f t="shared" ref="F46:G46" si="2">F5+F45</f>
        <v>8861000</v>
      </c>
      <c r="G46" s="4">
        <f t="shared" si="2"/>
        <v>8837000</v>
      </c>
      <c r="H46" s="1"/>
    </row>
    <row r="47" spans="1:11" x14ac:dyDescent="0.35">
      <c r="A47" s="28" t="s">
        <v>7</v>
      </c>
      <c r="B47" s="29"/>
      <c r="C47" s="30"/>
      <c r="D47" s="3"/>
      <c r="E47" s="4">
        <f t="shared" ref="E47:G47" si="3">E46</f>
        <v>24000</v>
      </c>
      <c r="F47" s="4">
        <f t="shared" si="3"/>
        <v>8861000</v>
      </c>
      <c r="G47" s="4">
        <f t="shared" si="3"/>
        <v>8837000</v>
      </c>
      <c r="H47" s="1"/>
      <c r="I47" s="5">
        <f>2477500-1782500</f>
        <v>695000</v>
      </c>
    </row>
    <row r="49" spans="6:8" x14ac:dyDescent="0.35">
      <c r="F49" s="27" t="s">
        <v>20</v>
      </c>
      <c r="G49" s="27"/>
      <c r="H49" s="27"/>
    </row>
    <row r="50" spans="6:8" x14ac:dyDescent="0.35">
      <c r="F50" s="27" t="s">
        <v>13</v>
      </c>
      <c r="G50" s="27"/>
      <c r="H50" s="27"/>
    </row>
  </sheetData>
  <mergeCells count="9">
    <mergeCell ref="F50:H50"/>
    <mergeCell ref="A45:C45"/>
    <mergeCell ref="A46:C46"/>
    <mergeCell ref="A47:C47"/>
    <mergeCell ref="A1:H1"/>
    <mergeCell ref="A2:H2"/>
    <mergeCell ref="A3:H3"/>
    <mergeCell ref="F49:H49"/>
    <mergeCell ref="H36:H43"/>
  </mergeCells>
  <phoneticPr fontId="4" type="noConversion"/>
  <pageMargins left="0.75" right="0.75" top="1" bottom="1" header="0.5" footer="0.5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55E02-AB5C-4107-9B79-B6FB553F83FD}">
  <sheetPr>
    <tabColor rgb="FFFF0000"/>
  </sheetPr>
  <dimension ref="A1:I14"/>
  <sheetViews>
    <sheetView zoomScale="129" workbookViewId="0">
      <selection activeCell="A9" sqref="A9:XFD44"/>
    </sheetView>
  </sheetViews>
  <sheetFormatPr defaultRowHeight="14.5" x14ac:dyDescent="0.35"/>
  <cols>
    <col min="1" max="1" width="5" customWidth="1"/>
    <col min="2" max="2" width="13.54296875" customWidth="1"/>
    <col min="3" max="3" width="42.7265625" customWidth="1"/>
    <col min="4" max="4" width="7" customWidth="1"/>
    <col min="5" max="5" width="16.6328125" customWidth="1"/>
    <col min="6" max="6" width="16.54296875" customWidth="1"/>
    <col min="7" max="7" width="16.6328125" customWidth="1"/>
    <col min="8" max="8" width="11.6328125" customWidth="1"/>
    <col min="9" max="9" width="14.90625" bestFit="1" customWidth="1"/>
    <col min="11" max="11" width="12.26953125" bestFit="1" customWidth="1"/>
  </cols>
  <sheetData>
    <row r="1" spans="1:9" ht="15.5" x14ac:dyDescent="0.35">
      <c r="A1" s="31" t="s">
        <v>12</v>
      </c>
      <c r="B1" s="31"/>
      <c r="C1" s="31"/>
      <c r="D1" s="31"/>
      <c r="E1" s="31"/>
      <c r="F1" s="31"/>
      <c r="G1" s="31"/>
      <c r="H1" s="31"/>
    </row>
    <row r="2" spans="1:9" ht="15.5" x14ac:dyDescent="0.35">
      <c r="A2" s="31" t="s">
        <v>8</v>
      </c>
      <c r="B2" s="31"/>
      <c r="C2" s="31"/>
      <c r="D2" s="31"/>
      <c r="E2" s="31"/>
      <c r="F2" s="31"/>
      <c r="G2" s="31"/>
      <c r="H2" s="31"/>
    </row>
    <row r="3" spans="1:9" ht="15.5" x14ac:dyDescent="0.35">
      <c r="A3" s="31" t="s">
        <v>22</v>
      </c>
      <c r="B3" s="31"/>
      <c r="C3" s="31"/>
      <c r="D3" s="31"/>
      <c r="E3" s="31"/>
      <c r="F3" s="31"/>
      <c r="G3" s="31"/>
      <c r="H3" s="31"/>
    </row>
    <row r="4" spans="1:9" ht="15.5" x14ac:dyDescent="0.35">
      <c r="A4" s="2" t="s">
        <v>0</v>
      </c>
      <c r="B4" s="2" t="s">
        <v>1</v>
      </c>
      <c r="C4" s="2" t="s">
        <v>2</v>
      </c>
      <c r="D4" s="2" t="s">
        <v>11</v>
      </c>
      <c r="E4" s="2" t="s">
        <v>9</v>
      </c>
      <c r="F4" s="2" t="s">
        <v>10</v>
      </c>
      <c r="G4" s="2" t="s">
        <v>3</v>
      </c>
      <c r="H4" s="2" t="s">
        <v>4</v>
      </c>
    </row>
    <row r="5" spans="1:9" s="11" customFormat="1" x14ac:dyDescent="0.35">
      <c r="A5" s="7">
        <v>1</v>
      </c>
      <c r="B5" s="20">
        <v>46054</v>
      </c>
      <c r="C5" s="21" t="s">
        <v>14</v>
      </c>
      <c r="D5" s="22"/>
      <c r="E5" s="23">
        <f>Januari!E47</f>
        <v>24000</v>
      </c>
      <c r="F5" s="23">
        <f>Januari!F47</f>
        <v>8861000</v>
      </c>
      <c r="G5" s="23">
        <f>Januari!G47</f>
        <v>8837000</v>
      </c>
      <c r="H5" s="24"/>
      <c r="I5" s="17">
        <f>G5*5%</f>
        <v>441850</v>
      </c>
    </row>
    <row r="6" spans="1:9" s="13" customFormat="1" x14ac:dyDescent="0.35">
      <c r="A6" s="12">
        <v>2</v>
      </c>
      <c r="B6" s="20">
        <v>46069</v>
      </c>
      <c r="C6" s="8" t="s">
        <v>43</v>
      </c>
      <c r="D6" s="9"/>
      <c r="E6" s="10">
        <v>6000</v>
      </c>
      <c r="F6" s="10"/>
      <c r="G6" s="10">
        <f>G5+F6-E6</f>
        <v>8831000</v>
      </c>
      <c r="H6" s="9"/>
    </row>
    <row r="7" spans="1:9" s="13" customFormat="1" x14ac:dyDescent="0.35">
      <c r="A7" s="12">
        <v>3</v>
      </c>
      <c r="B7" s="20">
        <v>46074</v>
      </c>
      <c r="C7" s="14" t="s">
        <v>44</v>
      </c>
      <c r="D7" s="14"/>
      <c r="E7" s="6"/>
      <c r="F7" s="6">
        <v>120000</v>
      </c>
      <c r="G7" s="10">
        <f t="shared" ref="G7:G8" si="0">G6+F7-E7</f>
        <v>8951000</v>
      </c>
      <c r="H7" s="14"/>
    </row>
    <row r="8" spans="1:9" s="13" customFormat="1" x14ac:dyDescent="0.35">
      <c r="A8" s="12">
        <v>4</v>
      </c>
      <c r="B8" s="20">
        <v>46076</v>
      </c>
      <c r="C8" s="14" t="s">
        <v>44</v>
      </c>
      <c r="D8" s="14"/>
      <c r="E8" s="6"/>
      <c r="F8" s="6">
        <v>110000</v>
      </c>
      <c r="G8" s="10">
        <f t="shared" si="0"/>
        <v>9061000</v>
      </c>
      <c r="H8" s="14"/>
    </row>
    <row r="9" spans="1:9" x14ac:dyDescent="0.35">
      <c r="A9" s="28" t="s">
        <v>5</v>
      </c>
      <c r="B9" s="29"/>
      <c r="C9" s="30"/>
      <c r="D9" s="3"/>
      <c r="E9" s="4">
        <f>SUM(E6:E8)</f>
        <v>6000</v>
      </c>
      <c r="F9" s="4">
        <f>SUM(F6:F8)</f>
        <v>230000</v>
      </c>
      <c r="G9" s="4">
        <f>F9-E9</f>
        <v>224000</v>
      </c>
      <c r="H9" s="1"/>
    </row>
    <row r="10" spans="1:9" x14ac:dyDescent="0.35">
      <c r="A10" s="28" t="s">
        <v>6</v>
      </c>
      <c r="B10" s="29"/>
      <c r="C10" s="30"/>
      <c r="D10" s="3"/>
      <c r="E10" s="4">
        <f>E5+E9</f>
        <v>30000</v>
      </c>
      <c r="F10" s="4">
        <f>F5+F9</f>
        <v>9091000</v>
      </c>
      <c r="G10" s="4">
        <f>G5+G9</f>
        <v>9061000</v>
      </c>
      <c r="H10" s="1"/>
    </row>
    <row r="11" spans="1:9" x14ac:dyDescent="0.35">
      <c r="A11" s="28" t="s">
        <v>7</v>
      </c>
      <c r="B11" s="29"/>
      <c r="C11" s="30"/>
      <c r="D11" s="3"/>
      <c r="E11" s="4">
        <f>E10</f>
        <v>30000</v>
      </c>
      <c r="F11" s="4">
        <f t="shared" ref="F11:G11" si="1">F10</f>
        <v>9091000</v>
      </c>
      <c r="G11" s="4">
        <f t="shared" si="1"/>
        <v>9061000</v>
      </c>
      <c r="H11" s="1"/>
      <c r="I11" s="5">
        <f>2477500-1782500</f>
        <v>695000</v>
      </c>
    </row>
    <row r="13" spans="1:9" x14ac:dyDescent="0.35">
      <c r="F13" s="27" t="s">
        <v>23</v>
      </c>
      <c r="G13" s="27"/>
      <c r="H13" s="27"/>
    </row>
    <row r="14" spans="1:9" x14ac:dyDescent="0.35">
      <c r="F14" s="27" t="s">
        <v>13</v>
      </c>
      <c r="G14" s="27"/>
      <c r="H14" s="27"/>
    </row>
  </sheetData>
  <mergeCells count="8">
    <mergeCell ref="A11:C11"/>
    <mergeCell ref="F13:H13"/>
    <mergeCell ref="F14:H14"/>
    <mergeCell ref="A1:H1"/>
    <mergeCell ref="A2:H2"/>
    <mergeCell ref="A3:H3"/>
    <mergeCell ref="A9:C9"/>
    <mergeCell ref="A10:C10"/>
  </mergeCells>
  <pageMargins left="0.75" right="0.75" top="1" bottom="1" header="0.5" footer="0.5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02C83-D19B-4F6D-AAA3-12ACCB881565}">
  <sheetPr>
    <tabColor rgb="FFFFFF00"/>
  </sheetPr>
  <dimension ref="A1:I15"/>
  <sheetViews>
    <sheetView topLeftCell="A2" zoomScale="129" workbookViewId="0">
      <selection activeCell="F9" sqref="F9"/>
    </sheetView>
  </sheetViews>
  <sheetFormatPr defaultRowHeight="14.5" x14ac:dyDescent="0.35"/>
  <cols>
    <col min="1" max="1" width="5" customWidth="1"/>
    <col min="2" max="2" width="13.54296875" customWidth="1"/>
    <col min="3" max="3" width="42.7265625" customWidth="1"/>
    <col min="4" max="4" width="7" customWidth="1"/>
    <col min="5" max="5" width="16.6328125" customWidth="1"/>
    <col min="6" max="6" width="16.54296875" customWidth="1"/>
    <col min="7" max="7" width="16.6328125" customWidth="1"/>
    <col min="8" max="8" width="11.6328125" customWidth="1"/>
    <col min="9" max="9" width="14.90625" bestFit="1" customWidth="1"/>
    <col min="11" max="11" width="12.26953125" bestFit="1" customWidth="1"/>
  </cols>
  <sheetData>
    <row r="1" spans="1:9" ht="15.5" x14ac:dyDescent="0.35">
      <c r="A1" s="31" t="s">
        <v>12</v>
      </c>
      <c r="B1" s="31"/>
      <c r="C1" s="31"/>
      <c r="D1" s="31"/>
      <c r="E1" s="31"/>
      <c r="F1" s="31"/>
      <c r="G1" s="31"/>
      <c r="H1" s="31"/>
    </row>
    <row r="2" spans="1:9" ht="15.5" x14ac:dyDescent="0.35">
      <c r="A2" s="31" t="s">
        <v>8</v>
      </c>
      <c r="B2" s="31"/>
      <c r="C2" s="31"/>
      <c r="D2" s="31"/>
      <c r="E2" s="31"/>
      <c r="F2" s="31"/>
      <c r="G2" s="31"/>
      <c r="H2" s="31"/>
    </row>
    <row r="3" spans="1:9" ht="15.5" x14ac:dyDescent="0.35">
      <c r="A3" s="31" t="s">
        <v>21</v>
      </c>
      <c r="B3" s="31"/>
      <c r="C3" s="31"/>
      <c r="D3" s="31"/>
      <c r="E3" s="31"/>
      <c r="F3" s="31"/>
      <c r="G3" s="31"/>
      <c r="H3" s="31"/>
    </row>
    <row r="4" spans="1:9" ht="15.5" x14ac:dyDescent="0.35">
      <c r="A4" s="2" t="s">
        <v>0</v>
      </c>
      <c r="B4" s="2" t="s">
        <v>1</v>
      </c>
      <c r="C4" s="2" t="s">
        <v>2</v>
      </c>
      <c r="D4" s="2" t="s">
        <v>11</v>
      </c>
      <c r="E4" s="2" t="s">
        <v>9</v>
      </c>
      <c r="F4" s="2" t="s">
        <v>10</v>
      </c>
      <c r="G4" s="2" t="s">
        <v>3</v>
      </c>
      <c r="H4" s="2" t="s">
        <v>4</v>
      </c>
    </row>
    <row r="5" spans="1:9" s="11" customFormat="1" x14ac:dyDescent="0.35">
      <c r="A5" s="7">
        <v>1</v>
      </c>
      <c r="B5" s="20">
        <v>46082</v>
      </c>
      <c r="C5" s="21" t="s">
        <v>14</v>
      </c>
      <c r="D5" s="22"/>
      <c r="E5" s="23">
        <f>Pebruari!E11</f>
        <v>30000</v>
      </c>
      <c r="F5" s="23">
        <f>Pebruari!F11</f>
        <v>9091000</v>
      </c>
      <c r="G5" s="23">
        <f>Pebruari!G11</f>
        <v>9061000</v>
      </c>
      <c r="H5" s="24"/>
      <c r="I5" s="17">
        <f>G5*5%</f>
        <v>453050</v>
      </c>
    </row>
    <row r="6" spans="1:9" s="13" customFormat="1" x14ac:dyDescent="0.35">
      <c r="A6" s="12">
        <v>2</v>
      </c>
      <c r="B6" s="20">
        <v>46097</v>
      </c>
      <c r="C6" s="8" t="s">
        <v>45</v>
      </c>
      <c r="D6" s="9"/>
      <c r="E6" s="10">
        <v>6000</v>
      </c>
      <c r="F6" s="10"/>
      <c r="G6" s="10">
        <f>G5+F6-E6</f>
        <v>9055000</v>
      </c>
      <c r="H6" s="9"/>
    </row>
    <row r="7" spans="1:9" s="13" customFormat="1" x14ac:dyDescent="0.35">
      <c r="A7" s="12">
        <v>3</v>
      </c>
      <c r="B7" s="20">
        <v>46098</v>
      </c>
      <c r="C7" s="14" t="s">
        <v>46</v>
      </c>
      <c r="D7" s="14"/>
      <c r="E7" s="6">
        <v>5000</v>
      </c>
      <c r="F7" s="6"/>
      <c r="G7" s="10">
        <f t="shared" ref="G7:G9" si="0">G6+F7-E7</f>
        <v>9050000</v>
      </c>
      <c r="H7" s="14"/>
    </row>
    <row r="8" spans="1:9" s="13" customFormat="1" x14ac:dyDescent="0.35">
      <c r="A8" s="12">
        <v>4</v>
      </c>
      <c r="B8" s="20">
        <v>46098</v>
      </c>
      <c r="C8" s="14" t="s">
        <v>47</v>
      </c>
      <c r="D8" s="14"/>
      <c r="E8" s="6">
        <v>2000</v>
      </c>
      <c r="F8" s="6"/>
      <c r="G8" s="10">
        <f t="shared" si="0"/>
        <v>9048000</v>
      </c>
      <c r="H8" s="14"/>
    </row>
    <row r="9" spans="1:9" s="13" customFormat="1" x14ac:dyDescent="0.35">
      <c r="A9" s="12">
        <v>5</v>
      </c>
      <c r="B9" s="20">
        <v>46099</v>
      </c>
      <c r="C9" s="14" t="s">
        <v>48</v>
      </c>
      <c r="D9" s="14"/>
      <c r="E9" s="6"/>
      <c r="F9" s="6">
        <v>455</v>
      </c>
      <c r="G9" s="10">
        <f t="shared" si="0"/>
        <v>9048455</v>
      </c>
      <c r="H9" s="14"/>
    </row>
    <row r="10" spans="1:9" x14ac:dyDescent="0.35">
      <c r="A10" s="28" t="s">
        <v>5</v>
      </c>
      <c r="B10" s="29"/>
      <c r="C10" s="30"/>
      <c r="D10" s="3"/>
      <c r="E10" s="4">
        <f>SUM(E6:E9)</f>
        <v>13000</v>
      </c>
      <c r="F10" s="4">
        <f>SUM(F6:F9)</f>
        <v>455</v>
      </c>
      <c r="G10" s="4">
        <f>F10-E10</f>
        <v>-12545</v>
      </c>
      <c r="H10" s="1"/>
    </row>
    <row r="11" spans="1:9" x14ac:dyDescent="0.35">
      <c r="A11" s="28" t="s">
        <v>6</v>
      </c>
      <c r="B11" s="29"/>
      <c r="C11" s="30"/>
      <c r="D11" s="3"/>
      <c r="E11" s="4">
        <f>E5+E10</f>
        <v>43000</v>
      </c>
      <c r="F11" s="4">
        <f>F5+F10</f>
        <v>9091455</v>
      </c>
      <c r="G11" s="4">
        <f>G5+G10</f>
        <v>9048455</v>
      </c>
      <c r="H11" s="1"/>
    </row>
    <row r="12" spans="1:9" x14ac:dyDescent="0.35">
      <c r="A12" s="28" t="s">
        <v>7</v>
      </c>
      <c r="B12" s="29"/>
      <c r="C12" s="30"/>
      <c r="D12" s="3"/>
      <c r="E12" s="4">
        <f t="shared" ref="E12:G12" si="1">E11</f>
        <v>43000</v>
      </c>
      <c r="F12" s="4">
        <f t="shared" si="1"/>
        <v>9091455</v>
      </c>
      <c r="G12" s="4">
        <f t="shared" si="1"/>
        <v>9048455</v>
      </c>
      <c r="H12" s="1"/>
      <c r="I12" s="5">
        <f>2477500-1782500</f>
        <v>695000</v>
      </c>
    </row>
    <row r="14" spans="1:9" x14ac:dyDescent="0.35">
      <c r="F14" s="27" t="s">
        <v>24</v>
      </c>
      <c r="G14" s="27"/>
      <c r="H14" s="27"/>
    </row>
    <row r="15" spans="1:9" x14ac:dyDescent="0.35">
      <c r="F15" s="27" t="s">
        <v>13</v>
      </c>
      <c r="G15" s="27"/>
      <c r="H15" s="27"/>
    </row>
  </sheetData>
  <mergeCells count="8">
    <mergeCell ref="A12:C12"/>
    <mergeCell ref="F14:H14"/>
    <mergeCell ref="F15:H15"/>
    <mergeCell ref="A1:H1"/>
    <mergeCell ref="A2:H2"/>
    <mergeCell ref="A3:H3"/>
    <mergeCell ref="A10:C10"/>
    <mergeCell ref="A11:C11"/>
  </mergeCells>
  <pageMargins left="0.75" right="0.75" top="1" bottom="1" header="0.5" footer="0.5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2188A-7F7D-4195-AC51-A5AC43D51353}">
  <sheetPr>
    <tabColor rgb="FF92D050"/>
  </sheetPr>
  <dimension ref="A1:I25"/>
  <sheetViews>
    <sheetView topLeftCell="A4" zoomScale="129" workbookViewId="0">
      <selection activeCell="C18" sqref="C18"/>
    </sheetView>
  </sheetViews>
  <sheetFormatPr defaultRowHeight="14.5" x14ac:dyDescent="0.35"/>
  <cols>
    <col min="1" max="1" width="5" customWidth="1"/>
    <col min="2" max="2" width="13.54296875" customWidth="1"/>
    <col min="3" max="3" width="42.7265625" customWidth="1"/>
    <col min="4" max="4" width="7" customWidth="1"/>
    <col min="5" max="5" width="16.6328125" customWidth="1"/>
    <col min="6" max="6" width="16.54296875" customWidth="1"/>
    <col min="7" max="7" width="16.6328125" customWidth="1"/>
    <col min="8" max="8" width="11.6328125" customWidth="1"/>
    <col min="9" max="9" width="14.90625" bestFit="1" customWidth="1"/>
    <col min="11" max="11" width="12.26953125" bestFit="1" customWidth="1"/>
  </cols>
  <sheetData>
    <row r="1" spans="1:9" ht="15.5" x14ac:dyDescent="0.35">
      <c r="A1" s="31" t="s">
        <v>12</v>
      </c>
      <c r="B1" s="31"/>
      <c r="C1" s="31"/>
      <c r="D1" s="31"/>
      <c r="E1" s="31"/>
      <c r="F1" s="31"/>
      <c r="G1" s="31"/>
      <c r="H1" s="31"/>
    </row>
    <row r="2" spans="1:9" ht="15.5" x14ac:dyDescent="0.35">
      <c r="A2" s="31" t="s">
        <v>8</v>
      </c>
      <c r="B2" s="31"/>
      <c r="C2" s="31"/>
      <c r="D2" s="31"/>
      <c r="E2" s="31"/>
      <c r="F2" s="31"/>
      <c r="G2" s="31"/>
      <c r="H2" s="31"/>
    </row>
    <row r="3" spans="1:9" ht="15.5" x14ac:dyDescent="0.35">
      <c r="A3" s="31" t="s">
        <v>28</v>
      </c>
      <c r="B3" s="31"/>
      <c r="C3" s="31"/>
      <c r="D3" s="31"/>
      <c r="E3" s="31"/>
      <c r="F3" s="31"/>
      <c r="G3" s="31"/>
      <c r="H3" s="31"/>
    </row>
    <row r="4" spans="1:9" ht="15.5" x14ac:dyDescent="0.35">
      <c r="A4" s="2" t="s">
        <v>0</v>
      </c>
      <c r="B4" s="2" t="s">
        <v>1</v>
      </c>
      <c r="C4" s="2" t="s">
        <v>2</v>
      </c>
      <c r="D4" s="2" t="s">
        <v>11</v>
      </c>
      <c r="E4" s="2" t="s">
        <v>9</v>
      </c>
      <c r="F4" s="2" t="s">
        <v>10</v>
      </c>
      <c r="G4" s="2" t="s">
        <v>3</v>
      </c>
      <c r="H4" s="2" t="s">
        <v>4</v>
      </c>
    </row>
    <row r="5" spans="1:9" s="11" customFormat="1" x14ac:dyDescent="0.35">
      <c r="A5" s="7">
        <v>1</v>
      </c>
      <c r="B5" s="20">
        <v>46113</v>
      </c>
      <c r="C5" s="21" t="s">
        <v>14</v>
      </c>
      <c r="D5" s="22"/>
      <c r="E5" s="23">
        <f>Maret!E12</f>
        <v>43000</v>
      </c>
      <c r="F5" s="23">
        <f>Maret!F12</f>
        <v>9091455</v>
      </c>
      <c r="G5" s="23">
        <f>Maret!G12</f>
        <v>9048455</v>
      </c>
      <c r="H5" s="24"/>
      <c r="I5" s="17">
        <f>G5*5%</f>
        <v>452422.75</v>
      </c>
    </row>
    <row r="6" spans="1:9" s="13" customFormat="1" x14ac:dyDescent="0.35">
      <c r="A6" s="12">
        <v>2</v>
      </c>
      <c r="B6" s="20">
        <v>46116</v>
      </c>
      <c r="C6" s="8" t="s">
        <v>49</v>
      </c>
      <c r="D6" s="9"/>
      <c r="E6" s="10">
        <v>115000</v>
      </c>
      <c r="F6" s="10"/>
      <c r="G6" s="10">
        <f>G5+F6-E6</f>
        <v>8933455</v>
      </c>
      <c r="H6" s="9"/>
    </row>
    <row r="7" spans="1:9" s="13" customFormat="1" x14ac:dyDescent="0.35">
      <c r="A7" s="12">
        <v>3</v>
      </c>
      <c r="B7" s="20">
        <v>46116</v>
      </c>
      <c r="C7" s="14" t="s">
        <v>50</v>
      </c>
      <c r="D7" s="14"/>
      <c r="E7" s="6">
        <v>5000</v>
      </c>
      <c r="F7" s="6"/>
      <c r="G7" s="10">
        <f t="shared" ref="G7:G19" si="0">G6+F7-E7</f>
        <v>8928455</v>
      </c>
      <c r="H7" s="14"/>
    </row>
    <row r="8" spans="1:9" s="13" customFormat="1" x14ac:dyDescent="0.35">
      <c r="A8" s="12">
        <v>4</v>
      </c>
      <c r="B8" s="20">
        <v>46116</v>
      </c>
      <c r="C8" s="14" t="s">
        <v>51</v>
      </c>
      <c r="D8" s="14"/>
      <c r="E8" s="6"/>
      <c r="F8" s="6">
        <v>2500</v>
      </c>
      <c r="G8" s="10">
        <f t="shared" si="0"/>
        <v>8930955</v>
      </c>
      <c r="H8" s="14"/>
    </row>
    <row r="9" spans="1:9" s="13" customFormat="1" x14ac:dyDescent="0.35">
      <c r="A9" s="12">
        <v>5</v>
      </c>
      <c r="B9" s="20">
        <v>46116</v>
      </c>
      <c r="C9" s="14" t="s">
        <v>52</v>
      </c>
      <c r="D9" s="14"/>
      <c r="E9" s="6"/>
      <c r="F9" s="6">
        <v>178500</v>
      </c>
      <c r="G9" s="10">
        <f t="shared" si="0"/>
        <v>9109455</v>
      </c>
      <c r="H9" s="14"/>
    </row>
    <row r="10" spans="1:9" s="13" customFormat="1" x14ac:dyDescent="0.35">
      <c r="A10" s="12">
        <v>6</v>
      </c>
      <c r="B10" s="20">
        <v>46116</v>
      </c>
      <c r="C10" s="14" t="s">
        <v>49</v>
      </c>
      <c r="D10" s="14"/>
      <c r="E10" s="6">
        <v>100000</v>
      </c>
      <c r="F10" s="6"/>
      <c r="G10" s="10">
        <f t="shared" si="0"/>
        <v>9009455</v>
      </c>
      <c r="H10" s="14"/>
    </row>
    <row r="11" spans="1:9" s="13" customFormat="1" x14ac:dyDescent="0.35">
      <c r="A11" s="12">
        <v>7</v>
      </c>
      <c r="B11" s="20">
        <v>46116</v>
      </c>
      <c r="C11" s="14" t="s">
        <v>50</v>
      </c>
      <c r="D11" s="14"/>
      <c r="E11" s="6">
        <v>3000</v>
      </c>
      <c r="F11" s="6"/>
      <c r="G11" s="10">
        <f t="shared" si="0"/>
        <v>9006455</v>
      </c>
      <c r="H11" s="14"/>
    </row>
    <row r="12" spans="1:9" s="13" customFormat="1" x14ac:dyDescent="0.35">
      <c r="A12" s="12">
        <v>8</v>
      </c>
      <c r="B12" s="20">
        <v>46116</v>
      </c>
      <c r="C12" s="14" t="s">
        <v>51</v>
      </c>
      <c r="D12" s="14"/>
      <c r="E12" s="6"/>
      <c r="F12" s="26">
        <v>1222.5</v>
      </c>
      <c r="G12" s="10">
        <f t="shared" si="0"/>
        <v>9007677.5</v>
      </c>
      <c r="H12" s="14"/>
    </row>
    <row r="13" spans="1:9" s="13" customFormat="1" x14ac:dyDescent="0.35">
      <c r="A13" s="12">
        <v>9</v>
      </c>
      <c r="B13" s="20">
        <v>46116</v>
      </c>
      <c r="C13" s="14" t="s">
        <v>53</v>
      </c>
      <c r="D13" s="14"/>
      <c r="E13" s="6"/>
      <c r="F13" s="6">
        <v>50000</v>
      </c>
      <c r="G13" s="10">
        <f t="shared" si="0"/>
        <v>9057677.5</v>
      </c>
      <c r="H13" s="14"/>
    </row>
    <row r="14" spans="1:9" s="13" customFormat="1" x14ac:dyDescent="0.35">
      <c r="A14" s="12">
        <v>10</v>
      </c>
      <c r="B14" s="20">
        <v>46122</v>
      </c>
      <c r="C14" s="14" t="s">
        <v>54</v>
      </c>
      <c r="D14" s="14"/>
      <c r="E14" s="6">
        <v>6000</v>
      </c>
      <c r="F14" s="6"/>
      <c r="G14" s="10">
        <f t="shared" si="0"/>
        <v>9051677.5</v>
      </c>
      <c r="H14" s="14"/>
    </row>
    <row r="15" spans="1:9" s="13" customFormat="1" x14ac:dyDescent="0.35">
      <c r="A15" s="12">
        <v>11</v>
      </c>
      <c r="B15" s="20">
        <v>46123</v>
      </c>
      <c r="C15" s="14" t="s">
        <v>55</v>
      </c>
      <c r="D15" s="14"/>
      <c r="E15" s="6">
        <v>10000</v>
      </c>
      <c r="F15" s="6"/>
      <c r="G15" s="10">
        <f t="shared" si="0"/>
        <v>9041677.5</v>
      </c>
      <c r="H15" s="14"/>
    </row>
    <row r="16" spans="1:9" s="13" customFormat="1" x14ac:dyDescent="0.35">
      <c r="A16" s="12">
        <v>12</v>
      </c>
      <c r="B16" s="20">
        <v>46124</v>
      </c>
      <c r="C16" s="14" t="s">
        <v>56</v>
      </c>
      <c r="D16" s="14"/>
      <c r="E16" s="6">
        <v>2000</v>
      </c>
      <c r="F16" s="6"/>
      <c r="G16" s="10">
        <f t="shared" si="0"/>
        <v>9039677.5</v>
      </c>
      <c r="H16" s="14"/>
    </row>
    <row r="17" spans="1:9" s="13" customFormat="1" x14ac:dyDescent="0.35">
      <c r="A17" s="12">
        <v>13</v>
      </c>
      <c r="B17" s="20">
        <v>46125</v>
      </c>
      <c r="C17" s="14" t="s">
        <v>57</v>
      </c>
      <c r="D17" s="14"/>
      <c r="E17" s="6"/>
      <c r="F17" s="6">
        <v>270000</v>
      </c>
      <c r="G17" s="10">
        <f t="shared" si="0"/>
        <v>9309677.5</v>
      </c>
      <c r="H17" s="14"/>
    </row>
    <row r="18" spans="1:9" s="13" customFormat="1" x14ac:dyDescent="0.35">
      <c r="A18" s="12">
        <v>14</v>
      </c>
      <c r="B18" s="20">
        <v>46126</v>
      </c>
      <c r="C18" s="14" t="s">
        <v>58</v>
      </c>
      <c r="D18" s="14"/>
      <c r="E18" s="6"/>
      <c r="F18" s="6">
        <v>475</v>
      </c>
      <c r="G18" s="10">
        <f t="shared" si="0"/>
        <v>9310152.5</v>
      </c>
      <c r="H18" s="14"/>
    </row>
    <row r="19" spans="1:9" s="13" customFormat="1" x14ac:dyDescent="0.35">
      <c r="A19" s="12">
        <v>15</v>
      </c>
      <c r="B19" s="20">
        <v>46127</v>
      </c>
      <c r="C19" s="14" t="s">
        <v>59</v>
      </c>
      <c r="D19" s="14"/>
      <c r="E19" s="6"/>
      <c r="F19" s="6">
        <v>180000</v>
      </c>
      <c r="G19" s="10">
        <f t="shared" si="0"/>
        <v>9490152.5</v>
      </c>
      <c r="H19" s="14"/>
    </row>
    <row r="20" spans="1:9" x14ac:dyDescent="0.35">
      <c r="A20" s="28" t="s">
        <v>5</v>
      </c>
      <c r="B20" s="29"/>
      <c r="C20" s="30"/>
      <c r="D20" s="3"/>
      <c r="E20" s="4">
        <f>SUM(E6:E19)</f>
        <v>241000</v>
      </c>
      <c r="F20" s="4">
        <f>SUM(F6:F19)</f>
        <v>682697.5</v>
      </c>
      <c r="G20" s="4">
        <f>F20-E20</f>
        <v>441697.5</v>
      </c>
      <c r="H20" s="1"/>
    </row>
    <row r="21" spans="1:9" x14ac:dyDescent="0.35">
      <c r="A21" s="28" t="s">
        <v>6</v>
      </c>
      <c r="B21" s="29"/>
      <c r="C21" s="30"/>
      <c r="D21" s="3"/>
      <c r="E21" s="4">
        <f>E5+E20</f>
        <v>284000</v>
      </c>
      <c r="F21" s="4">
        <f>F5+F20</f>
        <v>9774152.5</v>
      </c>
      <c r="G21" s="4">
        <f>G5+G20</f>
        <v>9490152.5</v>
      </c>
      <c r="H21" s="1"/>
    </row>
    <row r="22" spans="1:9" x14ac:dyDescent="0.35">
      <c r="A22" s="28" t="s">
        <v>7</v>
      </c>
      <c r="B22" s="29"/>
      <c r="C22" s="30"/>
      <c r="D22" s="3"/>
      <c r="E22" s="4">
        <f t="shared" ref="E22:G22" si="1">E21</f>
        <v>284000</v>
      </c>
      <c r="F22" s="4">
        <f t="shared" si="1"/>
        <v>9774152.5</v>
      </c>
      <c r="G22" s="4">
        <f t="shared" si="1"/>
        <v>9490152.5</v>
      </c>
      <c r="H22" s="1"/>
      <c r="I22" s="5">
        <f>2477500-1782500</f>
        <v>695000</v>
      </c>
    </row>
    <row r="24" spans="1:9" x14ac:dyDescent="0.35">
      <c r="F24" s="27" t="s">
        <v>25</v>
      </c>
      <c r="G24" s="27"/>
      <c r="H24" s="27"/>
    </row>
    <row r="25" spans="1:9" x14ac:dyDescent="0.35">
      <c r="F25" s="27" t="s">
        <v>13</v>
      </c>
      <c r="G25" s="27"/>
      <c r="H25" s="27"/>
    </row>
  </sheetData>
  <mergeCells count="8">
    <mergeCell ref="A22:C22"/>
    <mergeCell ref="F24:H24"/>
    <mergeCell ref="F25:H25"/>
    <mergeCell ref="A1:H1"/>
    <mergeCell ref="A2:H2"/>
    <mergeCell ref="A3:H3"/>
    <mergeCell ref="A20:C20"/>
    <mergeCell ref="A21:C21"/>
  </mergeCells>
  <pageMargins left="0.75" right="0.75" top="1" bottom="1" header="0.5" footer="0.5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75864-3E50-462B-B41F-35DC1F0BBB97}">
  <sheetPr>
    <tabColor rgb="FF7030A0"/>
  </sheetPr>
  <dimension ref="A1:I26"/>
  <sheetViews>
    <sheetView tabSelected="1" topLeftCell="A5" zoomScale="129" workbookViewId="0">
      <selection activeCell="A21" sqref="A21:C21"/>
    </sheetView>
  </sheetViews>
  <sheetFormatPr defaultRowHeight="14.5" x14ac:dyDescent="0.35"/>
  <cols>
    <col min="1" max="1" width="5" customWidth="1"/>
    <col min="2" max="2" width="13.54296875" customWidth="1"/>
    <col min="3" max="3" width="42.7265625" customWidth="1"/>
    <col min="4" max="4" width="7" customWidth="1"/>
    <col min="5" max="5" width="16.6328125" customWidth="1"/>
    <col min="6" max="6" width="16.54296875" customWidth="1"/>
    <col min="7" max="7" width="16.6328125" customWidth="1"/>
    <col min="8" max="8" width="11.6328125" customWidth="1"/>
    <col min="9" max="9" width="14.90625" bestFit="1" customWidth="1"/>
    <col min="11" max="11" width="12.26953125" bestFit="1" customWidth="1"/>
  </cols>
  <sheetData>
    <row r="1" spans="1:9" ht="15.5" x14ac:dyDescent="0.35">
      <c r="A1" s="31" t="s">
        <v>12</v>
      </c>
      <c r="B1" s="31"/>
      <c r="C1" s="31"/>
      <c r="D1" s="31"/>
      <c r="E1" s="31"/>
      <c r="F1" s="31"/>
      <c r="G1" s="31"/>
      <c r="H1" s="31"/>
    </row>
    <row r="2" spans="1:9" ht="15.5" x14ac:dyDescent="0.35">
      <c r="A2" s="31" t="s">
        <v>8</v>
      </c>
      <c r="B2" s="31"/>
      <c r="C2" s="31"/>
      <c r="D2" s="31"/>
      <c r="E2" s="31"/>
      <c r="F2" s="31"/>
      <c r="G2" s="31"/>
      <c r="H2" s="31"/>
    </row>
    <row r="3" spans="1:9" ht="15.5" x14ac:dyDescent="0.35">
      <c r="A3" s="31" t="s">
        <v>27</v>
      </c>
      <c r="B3" s="31"/>
      <c r="C3" s="31"/>
      <c r="D3" s="31"/>
      <c r="E3" s="31"/>
      <c r="F3" s="31"/>
      <c r="G3" s="31"/>
      <c r="H3" s="31"/>
    </row>
    <row r="4" spans="1:9" ht="15.5" x14ac:dyDescent="0.35">
      <c r="A4" s="2" t="s">
        <v>0</v>
      </c>
      <c r="B4" s="2" t="s">
        <v>1</v>
      </c>
      <c r="C4" s="2" t="s">
        <v>2</v>
      </c>
      <c r="D4" s="2" t="s">
        <v>11</v>
      </c>
      <c r="E4" s="2" t="s">
        <v>9</v>
      </c>
      <c r="F4" s="2" t="s">
        <v>10</v>
      </c>
      <c r="G4" s="2" t="s">
        <v>3</v>
      </c>
      <c r="H4" s="2" t="s">
        <v>4</v>
      </c>
    </row>
    <row r="5" spans="1:9" s="11" customFormat="1" x14ac:dyDescent="0.35">
      <c r="A5" s="7">
        <v>1</v>
      </c>
      <c r="B5" s="20">
        <v>46143</v>
      </c>
      <c r="C5" s="21" t="s">
        <v>14</v>
      </c>
      <c r="D5" s="22"/>
      <c r="E5" s="23">
        <f>April!E22</f>
        <v>284000</v>
      </c>
      <c r="F5" s="23">
        <f>April!F22</f>
        <v>9774152.5</v>
      </c>
      <c r="G5" s="23">
        <f>April!G22</f>
        <v>9490152.5</v>
      </c>
      <c r="H5" s="24"/>
      <c r="I5" s="17">
        <f>G5*5%</f>
        <v>474507.625</v>
      </c>
    </row>
    <row r="6" spans="1:9" s="13" customFormat="1" x14ac:dyDescent="0.35">
      <c r="A6" s="12">
        <v>2</v>
      </c>
      <c r="B6" s="20">
        <v>46145</v>
      </c>
      <c r="C6" s="8" t="s">
        <v>49</v>
      </c>
      <c r="D6" s="9"/>
      <c r="E6" s="10">
        <v>115000</v>
      </c>
      <c r="F6" s="10"/>
      <c r="G6" s="10">
        <f>G5+F6-E6</f>
        <v>9375152.5</v>
      </c>
      <c r="H6" s="9"/>
    </row>
    <row r="7" spans="1:9" s="13" customFormat="1" x14ac:dyDescent="0.35">
      <c r="A7" s="12">
        <v>3</v>
      </c>
      <c r="B7" s="20">
        <v>46145</v>
      </c>
      <c r="C7" s="14" t="s">
        <v>50</v>
      </c>
      <c r="D7" s="14"/>
      <c r="E7" s="6">
        <v>5000</v>
      </c>
      <c r="F7" s="6"/>
      <c r="G7" s="10">
        <f t="shared" ref="G7:G20" si="0">G6+F7-E7</f>
        <v>9370152.5</v>
      </c>
      <c r="H7" s="14"/>
    </row>
    <row r="8" spans="1:9" s="13" customFormat="1" x14ac:dyDescent="0.35">
      <c r="A8" s="12">
        <v>4</v>
      </c>
      <c r="B8" s="20">
        <v>46145</v>
      </c>
      <c r="C8" s="14" t="s">
        <v>49</v>
      </c>
      <c r="D8" s="14"/>
      <c r="E8" s="6">
        <v>50000</v>
      </c>
      <c r="F8" s="6"/>
      <c r="G8" s="10">
        <f t="shared" si="0"/>
        <v>9320152.5</v>
      </c>
      <c r="H8" s="14"/>
    </row>
    <row r="9" spans="1:9" s="13" customFormat="1" x14ac:dyDescent="0.35">
      <c r="A9" s="12">
        <v>5</v>
      </c>
      <c r="B9" s="20">
        <v>46145</v>
      </c>
      <c r="C9" s="14" t="s">
        <v>50</v>
      </c>
      <c r="D9" s="14"/>
      <c r="E9" s="6">
        <v>3000</v>
      </c>
      <c r="F9" s="6"/>
      <c r="G9" s="10">
        <f t="shared" si="0"/>
        <v>9317152.5</v>
      </c>
      <c r="H9" s="14"/>
    </row>
    <row r="10" spans="1:9" s="13" customFormat="1" x14ac:dyDescent="0.35">
      <c r="A10" s="12">
        <v>6</v>
      </c>
      <c r="B10" s="20">
        <v>46147</v>
      </c>
      <c r="C10" s="14" t="s">
        <v>58</v>
      </c>
      <c r="D10" s="14"/>
      <c r="E10" s="6"/>
      <c r="F10" s="6">
        <v>3722.5</v>
      </c>
      <c r="G10" s="10">
        <f t="shared" si="0"/>
        <v>9320875</v>
      </c>
      <c r="H10" s="14"/>
    </row>
    <row r="11" spans="1:9" s="13" customFormat="1" x14ac:dyDescent="0.35">
      <c r="A11" s="12">
        <v>7</v>
      </c>
      <c r="B11" s="20">
        <v>46158</v>
      </c>
      <c r="C11" s="14" t="s">
        <v>60</v>
      </c>
      <c r="D11" s="14"/>
      <c r="E11" s="6"/>
      <c r="F11" s="6">
        <v>700000</v>
      </c>
      <c r="G11" s="10">
        <f t="shared" si="0"/>
        <v>10020875</v>
      </c>
      <c r="H11" s="14"/>
    </row>
    <row r="12" spans="1:9" s="13" customFormat="1" x14ac:dyDescent="0.35">
      <c r="A12" s="12">
        <v>8</v>
      </c>
      <c r="B12" s="20">
        <v>46158</v>
      </c>
      <c r="C12" s="14" t="s">
        <v>61</v>
      </c>
      <c r="D12" s="14"/>
      <c r="E12" s="6"/>
      <c r="F12" s="6">
        <v>174750</v>
      </c>
      <c r="G12" s="10">
        <f t="shared" si="0"/>
        <v>10195625</v>
      </c>
      <c r="H12" s="14"/>
    </row>
    <row r="13" spans="1:9" s="13" customFormat="1" x14ac:dyDescent="0.35">
      <c r="A13" s="12">
        <v>9</v>
      </c>
      <c r="B13" s="20">
        <v>46158</v>
      </c>
      <c r="C13" s="14" t="s">
        <v>43</v>
      </c>
      <c r="D13" s="14"/>
      <c r="E13" s="6">
        <v>6500</v>
      </c>
      <c r="F13" s="6"/>
      <c r="G13" s="10">
        <f t="shared" si="0"/>
        <v>10189125</v>
      </c>
      <c r="H13" s="14"/>
    </row>
    <row r="14" spans="1:9" s="13" customFormat="1" x14ac:dyDescent="0.35">
      <c r="A14" s="12">
        <v>10</v>
      </c>
      <c r="B14" s="20">
        <v>46167</v>
      </c>
      <c r="C14" s="14" t="s">
        <v>62</v>
      </c>
      <c r="D14" s="14"/>
      <c r="E14" s="6">
        <v>50000</v>
      </c>
      <c r="F14" s="6"/>
      <c r="G14" s="10">
        <f t="shared" si="0"/>
        <v>10139125</v>
      </c>
      <c r="H14" s="14"/>
    </row>
    <row r="15" spans="1:9" s="13" customFormat="1" x14ac:dyDescent="0.35">
      <c r="A15" s="12">
        <v>11</v>
      </c>
      <c r="B15" s="20">
        <v>46167</v>
      </c>
      <c r="C15" s="14" t="s">
        <v>56</v>
      </c>
      <c r="D15" s="14"/>
      <c r="E15" s="6">
        <v>3000</v>
      </c>
      <c r="F15" s="6"/>
      <c r="G15" s="10">
        <f t="shared" si="0"/>
        <v>10136125</v>
      </c>
      <c r="H15" s="14"/>
    </row>
    <row r="16" spans="1:9" s="13" customFormat="1" x14ac:dyDescent="0.35">
      <c r="A16" s="12">
        <v>12</v>
      </c>
      <c r="B16" s="20">
        <v>46168</v>
      </c>
      <c r="C16" s="14" t="s">
        <v>15</v>
      </c>
      <c r="D16" s="14"/>
      <c r="E16" s="6"/>
      <c r="F16" s="6">
        <v>110000</v>
      </c>
      <c r="G16" s="10">
        <f t="shared" si="0"/>
        <v>10246125</v>
      </c>
      <c r="H16" s="14"/>
    </row>
    <row r="17" spans="1:9" s="13" customFormat="1" x14ac:dyDescent="0.35">
      <c r="A17" s="12">
        <v>13</v>
      </c>
      <c r="B17" s="20">
        <v>46168</v>
      </c>
      <c r="C17" s="14" t="s">
        <v>58</v>
      </c>
      <c r="D17" s="14"/>
      <c r="E17" s="6"/>
      <c r="F17" s="6">
        <v>1222.5</v>
      </c>
      <c r="G17" s="10">
        <f t="shared" si="0"/>
        <v>10247347.5</v>
      </c>
      <c r="H17" s="14"/>
    </row>
    <row r="18" spans="1:9" s="13" customFormat="1" x14ac:dyDescent="0.35">
      <c r="A18" s="12">
        <v>14</v>
      </c>
      <c r="B18" s="20">
        <v>46166</v>
      </c>
      <c r="C18" s="14" t="s">
        <v>63</v>
      </c>
      <c r="D18" s="14"/>
      <c r="E18" s="6"/>
      <c r="F18" s="6">
        <v>440000</v>
      </c>
      <c r="G18" s="10">
        <f t="shared" si="0"/>
        <v>10687347.5</v>
      </c>
      <c r="H18" s="14"/>
    </row>
    <row r="19" spans="1:9" s="13" customFormat="1" x14ac:dyDescent="0.35">
      <c r="A19" s="12">
        <v>15</v>
      </c>
      <c r="B19" s="20">
        <v>46173</v>
      </c>
      <c r="C19" s="14" t="s">
        <v>49</v>
      </c>
      <c r="D19" s="14"/>
      <c r="E19" s="6">
        <v>100000</v>
      </c>
      <c r="F19" s="6"/>
      <c r="G19" s="10">
        <f t="shared" si="0"/>
        <v>10587347.5</v>
      </c>
      <c r="H19" s="14"/>
    </row>
    <row r="20" spans="1:9" s="13" customFormat="1" x14ac:dyDescent="0.35">
      <c r="A20" s="12">
        <v>16</v>
      </c>
      <c r="B20" s="20">
        <v>46173</v>
      </c>
      <c r="C20" s="14" t="s">
        <v>64</v>
      </c>
      <c r="D20" s="14"/>
      <c r="E20" s="6">
        <v>3000</v>
      </c>
      <c r="F20" s="6"/>
      <c r="G20" s="10">
        <f t="shared" si="0"/>
        <v>10584347.5</v>
      </c>
      <c r="H20" s="14"/>
    </row>
    <row r="21" spans="1:9" x14ac:dyDescent="0.35">
      <c r="A21" s="28" t="s">
        <v>5</v>
      </c>
      <c r="B21" s="29"/>
      <c r="C21" s="30"/>
      <c r="D21" s="3"/>
      <c r="E21" s="4">
        <f>SUM(E6:E20)</f>
        <v>335500</v>
      </c>
      <c r="F21" s="4">
        <f>SUM(F6:F20)</f>
        <v>1429695</v>
      </c>
      <c r="G21" s="4">
        <f>F21-E21</f>
        <v>1094195</v>
      </c>
      <c r="H21" s="1"/>
    </row>
    <row r="22" spans="1:9" x14ac:dyDescent="0.35">
      <c r="A22" s="28" t="s">
        <v>6</v>
      </c>
      <c r="B22" s="29"/>
      <c r="C22" s="30"/>
      <c r="D22" s="3"/>
      <c r="E22" s="4">
        <f>E5+E21</f>
        <v>619500</v>
      </c>
      <c r="F22" s="4">
        <f>F5+F21</f>
        <v>11203847.5</v>
      </c>
      <c r="G22" s="4">
        <f>G5+G21</f>
        <v>10584347.5</v>
      </c>
      <c r="H22" s="1"/>
    </row>
    <row r="23" spans="1:9" x14ac:dyDescent="0.35">
      <c r="A23" s="28" t="s">
        <v>7</v>
      </c>
      <c r="B23" s="29"/>
      <c r="C23" s="30"/>
      <c r="D23" s="3"/>
      <c r="E23" s="4">
        <f t="shared" ref="E23:G23" si="1">E22</f>
        <v>619500</v>
      </c>
      <c r="F23" s="4">
        <f t="shared" si="1"/>
        <v>11203847.5</v>
      </c>
      <c r="G23" s="4">
        <f t="shared" si="1"/>
        <v>10584347.5</v>
      </c>
      <c r="H23" s="1"/>
      <c r="I23" s="5">
        <f>2477500-1782500</f>
        <v>695000</v>
      </c>
    </row>
    <row r="25" spans="1:9" x14ac:dyDescent="0.35">
      <c r="F25" s="27" t="s">
        <v>26</v>
      </c>
      <c r="G25" s="27"/>
      <c r="H25" s="27"/>
    </row>
    <row r="26" spans="1:9" x14ac:dyDescent="0.35">
      <c r="F26" s="27" t="s">
        <v>13</v>
      </c>
      <c r="G26" s="27"/>
      <c r="H26" s="27"/>
    </row>
  </sheetData>
  <mergeCells count="8">
    <mergeCell ref="A23:C23"/>
    <mergeCell ref="F25:H25"/>
    <mergeCell ref="F26:H26"/>
    <mergeCell ref="A1:H1"/>
    <mergeCell ref="A2:H2"/>
    <mergeCell ref="A3:H3"/>
    <mergeCell ref="A21:C21"/>
    <mergeCell ref="A22:C22"/>
  </mergeCells>
  <pageMargins left="0.75" right="0.75" top="1" bottom="1" header="0.5" footer="0.5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8727D-CE13-4EB4-B5B1-051B079EC769}">
  <sheetPr>
    <tabColor rgb="FF00B0F0"/>
  </sheetPr>
  <dimension ref="A1:I23"/>
  <sheetViews>
    <sheetView topLeftCell="A4" zoomScale="129" workbookViewId="0">
      <selection activeCell="F18" sqref="F18"/>
    </sheetView>
  </sheetViews>
  <sheetFormatPr defaultRowHeight="14.5" x14ac:dyDescent="0.35"/>
  <cols>
    <col min="1" max="1" width="5" customWidth="1"/>
    <col min="2" max="2" width="13.54296875" customWidth="1"/>
    <col min="3" max="3" width="42.7265625" customWidth="1"/>
    <col min="4" max="4" width="7" customWidth="1"/>
    <col min="5" max="5" width="16.6328125" customWidth="1"/>
    <col min="6" max="6" width="16.54296875" customWidth="1"/>
    <col min="7" max="7" width="16.6328125" customWidth="1"/>
    <col min="8" max="8" width="11.6328125" customWidth="1"/>
    <col min="9" max="9" width="14.90625" bestFit="1" customWidth="1"/>
    <col min="11" max="11" width="12.26953125" bestFit="1" customWidth="1"/>
  </cols>
  <sheetData>
    <row r="1" spans="1:9" ht="15.5" x14ac:dyDescent="0.35">
      <c r="A1" s="31" t="s">
        <v>12</v>
      </c>
      <c r="B1" s="31"/>
      <c r="C1" s="31"/>
      <c r="D1" s="31"/>
      <c r="E1" s="31"/>
      <c r="F1" s="31"/>
      <c r="G1" s="31"/>
      <c r="H1" s="31"/>
    </row>
    <row r="2" spans="1:9" ht="15.5" x14ac:dyDescent="0.35">
      <c r="A2" s="31" t="s">
        <v>8</v>
      </c>
      <c r="B2" s="31"/>
      <c r="C2" s="31"/>
      <c r="D2" s="31"/>
      <c r="E2" s="31"/>
      <c r="F2" s="31"/>
      <c r="G2" s="31"/>
      <c r="H2" s="31"/>
    </row>
    <row r="3" spans="1:9" ht="15.5" x14ac:dyDescent="0.35">
      <c r="A3" s="31" t="s">
        <v>31</v>
      </c>
      <c r="B3" s="31"/>
      <c r="C3" s="31"/>
      <c r="D3" s="31"/>
      <c r="E3" s="31"/>
      <c r="F3" s="31"/>
      <c r="G3" s="31"/>
      <c r="H3" s="31"/>
    </row>
    <row r="4" spans="1:9" ht="15.5" x14ac:dyDescent="0.35">
      <c r="A4" s="2" t="s">
        <v>0</v>
      </c>
      <c r="B4" s="2" t="s">
        <v>1</v>
      </c>
      <c r="C4" s="2" t="s">
        <v>2</v>
      </c>
      <c r="D4" s="2" t="s">
        <v>11</v>
      </c>
      <c r="E4" s="2" t="s">
        <v>9</v>
      </c>
      <c r="F4" s="2" t="s">
        <v>10</v>
      </c>
      <c r="G4" s="2" t="s">
        <v>3</v>
      </c>
      <c r="H4" s="2" t="s">
        <v>4</v>
      </c>
    </row>
    <row r="5" spans="1:9" s="11" customFormat="1" x14ac:dyDescent="0.35">
      <c r="A5" s="7">
        <v>1</v>
      </c>
      <c r="B5" s="20">
        <v>46204</v>
      </c>
      <c r="C5" s="21" t="s">
        <v>14</v>
      </c>
      <c r="D5" s="22"/>
      <c r="E5" s="23">
        <f>Mei!E23</f>
        <v>619500</v>
      </c>
      <c r="F5" s="23">
        <f>Mei!F23</f>
        <v>11203847.5</v>
      </c>
      <c r="G5" s="23">
        <f>Mei!G23</f>
        <v>10584347.5</v>
      </c>
      <c r="H5" s="24"/>
      <c r="I5" s="17">
        <f>G5*5%</f>
        <v>529217.375</v>
      </c>
    </row>
    <row r="6" spans="1:9" s="13" customFormat="1" x14ac:dyDescent="0.35">
      <c r="A6" s="12">
        <v>2</v>
      </c>
      <c r="B6" s="20">
        <v>46204</v>
      </c>
      <c r="C6" s="8" t="s">
        <v>65</v>
      </c>
      <c r="D6" s="9"/>
      <c r="E6" s="10"/>
      <c r="F6" s="10">
        <v>1222.5</v>
      </c>
      <c r="G6" s="10">
        <f>G5+F6-E6</f>
        <v>10585570</v>
      </c>
      <c r="H6" s="9"/>
    </row>
    <row r="7" spans="1:9" s="13" customFormat="1" x14ac:dyDescent="0.35">
      <c r="A7" s="12">
        <v>3</v>
      </c>
      <c r="B7" s="20">
        <v>46209</v>
      </c>
      <c r="C7" s="14" t="s">
        <v>66</v>
      </c>
      <c r="D7" s="14"/>
      <c r="E7" s="6"/>
      <c r="F7" s="6">
        <v>86000</v>
      </c>
      <c r="G7" s="10">
        <f t="shared" ref="G7:G16" si="0">G6+F7-E7</f>
        <v>10671570</v>
      </c>
      <c r="H7" s="14"/>
    </row>
    <row r="8" spans="1:9" s="13" customFormat="1" x14ac:dyDescent="0.35">
      <c r="A8" s="12">
        <v>4</v>
      </c>
      <c r="B8" s="20">
        <v>46218</v>
      </c>
      <c r="C8" s="14" t="s">
        <v>68</v>
      </c>
      <c r="D8" s="14"/>
      <c r="E8" s="6"/>
      <c r="F8" s="6">
        <v>10000</v>
      </c>
      <c r="G8" s="10">
        <f t="shared" si="0"/>
        <v>10681570</v>
      </c>
      <c r="H8" s="14"/>
    </row>
    <row r="9" spans="1:9" s="13" customFormat="1" x14ac:dyDescent="0.35">
      <c r="A9" s="12">
        <v>5</v>
      </c>
      <c r="B9" s="20">
        <v>46218</v>
      </c>
      <c r="C9" s="14" t="s">
        <v>66</v>
      </c>
      <c r="D9" s="14"/>
      <c r="E9" s="6"/>
      <c r="F9" s="6">
        <v>150000</v>
      </c>
      <c r="G9" s="10">
        <f t="shared" si="0"/>
        <v>10831570</v>
      </c>
      <c r="H9" s="14"/>
    </row>
    <row r="10" spans="1:9" s="13" customFormat="1" x14ac:dyDescent="0.35">
      <c r="A10" s="12">
        <v>6</v>
      </c>
      <c r="B10" s="20">
        <v>46219</v>
      </c>
      <c r="C10" s="14" t="s">
        <v>45</v>
      </c>
      <c r="D10" s="14"/>
      <c r="E10" s="6">
        <v>6500</v>
      </c>
      <c r="F10" s="6"/>
      <c r="G10" s="10">
        <f t="shared" si="0"/>
        <v>10825070</v>
      </c>
      <c r="H10" s="14"/>
    </row>
    <row r="11" spans="1:9" s="13" customFormat="1" x14ac:dyDescent="0.35">
      <c r="A11" s="12">
        <v>7</v>
      </c>
      <c r="B11" s="20">
        <v>46220</v>
      </c>
      <c r="C11" s="14" t="s">
        <v>69</v>
      </c>
      <c r="D11" s="14"/>
      <c r="E11" s="6">
        <v>200000</v>
      </c>
      <c r="F11" s="6"/>
      <c r="G11" s="10">
        <f t="shared" si="0"/>
        <v>10625070</v>
      </c>
      <c r="H11" s="14"/>
    </row>
    <row r="12" spans="1:9" s="13" customFormat="1" x14ac:dyDescent="0.35">
      <c r="A12" s="12">
        <v>8</v>
      </c>
      <c r="B12" s="20">
        <v>46220</v>
      </c>
      <c r="C12" s="14" t="s">
        <v>45</v>
      </c>
      <c r="D12" s="14"/>
      <c r="E12" s="6">
        <v>5000</v>
      </c>
      <c r="F12" s="6"/>
      <c r="G12" s="10">
        <f t="shared" si="0"/>
        <v>10620070</v>
      </c>
      <c r="H12" s="14"/>
    </row>
    <row r="13" spans="1:9" s="13" customFormat="1" x14ac:dyDescent="0.35">
      <c r="A13" s="12">
        <v>9</v>
      </c>
      <c r="B13" s="20">
        <v>46221</v>
      </c>
      <c r="C13" s="14" t="s">
        <v>65</v>
      </c>
      <c r="D13" s="14"/>
      <c r="E13" s="6"/>
      <c r="F13" s="6">
        <v>2500</v>
      </c>
      <c r="G13" s="10">
        <f t="shared" si="0"/>
        <v>10622570</v>
      </c>
      <c r="H13" s="14"/>
    </row>
    <row r="14" spans="1:9" s="13" customFormat="1" x14ac:dyDescent="0.35">
      <c r="A14" s="12">
        <v>10</v>
      </c>
      <c r="B14" s="20">
        <v>46225</v>
      </c>
      <c r="C14" s="14" t="s">
        <v>67</v>
      </c>
      <c r="D14" s="14"/>
      <c r="E14" s="6">
        <v>6622000</v>
      </c>
      <c r="F14" s="6"/>
      <c r="G14" s="10">
        <f t="shared" si="0"/>
        <v>4000570</v>
      </c>
      <c r="H14" s="14"/>
    </row>
    <row r="15" spans="1:9" s="13" customFormat="1" x14ac:dyDescent="0.35">
      <c r="A15" s="12">
        <v>11</v>
      </c>
      <c r="B15" s="20">
        <v>46226</v>
      </c>
      <c r="C15" s="35" t="s">
        <v>70</v>
      </c>
      <c r="D15" s="14"/>
      <c r="E15" s="6">
        <v>750000</v>
      </c>
      <c r="F15" s="6"/>
      <c r="G15" s="10">
        <f t="shared" si="0"/>
        <v>3250570</v>
      </c>
      <c r="H15" s="14"/>
    </row>
    <row r="16" spans="1:9" s="13" customFormat="1" x14ac:dyDescent="0.35">
      <c r="A16" s="12">
        <v>12</v>
      </c>
      <c r="B16" s="20">
        <v>46227</v>
      </c>
      <c r="C16" s="35" t="s">
        <v>45</v>
      </c>
      <c r="D16" s="14"/>
      <c r="E16" s="6">
        <v>5000</v>
      </c>
      <c r="F16" s="6"/>
      <c r="G16" s="10">
        <f t="shared" si="0"/>
        <v>3245570</v>
      </c>
      <c r="H16" s="14"/>
    </row>
    <row r="17" spans="1:9" s="13" customFormat="1" x14ac:dyDescent="0.35">
      <c r="A17" s="12">
        <v>13</v>
      </c>
      <c r="B17" s="20">
        <v>46227</v>
      </c>
      <c r="C17" s="35" t="s">
        <v>65</v>
      </c>
      <c r="D17" s="14"/>
      <c r="E17" s="6"/>
      <c r="F17" s="6">
        <v>2500</v>
      </c>
      <c r="G17" s="10">
        <f>G15+F17-E17</f>
        <v>3253070</v>
      </c>
      <c r="H17" s="14"/>
    </row>
    <row r="18" spans="1:9" x14ac:dyDescent="0.35">
      <c r="A18" s="28" t="s">
        <v>5</v>
      </c>
      <c r="B18" s="29"/>
      <c r="C18" s="30"/>
      <c r="D18" s="3"/>
      <c r="E18" s="4">
        <f>SUM(E6:E17)</f>
        <v>7588500</v>
      </c>
      <c r="F18" s="4">
        <f>SUM(F6:F14)</f>
        <v>249722.5</v>
      </c>
      <c r="G18" s="4">
        <f>F18-E18</f>
        <v>-7338777.5</v>
      </c>
      <c r="H18" s="1"/>
    </row>
    <row r="19" spans="1:9" x14ac:dyDescent="0.35">
      <c r="A19" s="28" t="s">
        <v>6</v>
      </c>
      <c r="B19" s="29"/>
      <c r="C19" s="30"/>
      <c r="D19" s="3"/>
      <c r="E19" s="4">
        <f>E5+E18</f>
        <v>8208000</v>
      </c>
      <c r="F19" s="4">
        <f>F5+F18</f>
        <v>11453570</v>
      </c>
      <c r="G19" s="4">
        <f>G5+G18</f>
        <v>3245570</v>
      </c>
      <c r="H19" s="1"/>
    </row>
    <row r="20" spans="1:9" x14ac:dyDescent="0.35">
      <c r="A20" s="28" t="s">
        <v>7</v>
      </c>
      <c r="B20" s="29"/>
      <c r="C20" s="30"/>
      <c r="D20" s="3"/>
      <c r="E20" s="4">
        <f t="shared" ref="E20:G20" si="1">E19</f>
        <v>8208000</v>
      </c>
      <c r="F20" s="4">
        <f t="shared" si="1"/>
        <v>11453570</v>
      </c>
      <c r="G20" s="4">
        <f t="shared" si="1"/>
        <v>3245570</v>
      </c>
      <c r="H20" s="1"/>
      <c r="I20" s="5">
        <f>2477500-1782500</f>
        <v>695000</v>
      </c>
    </row>
    <row r="22" spans="1:9" x14ac:dyDescent="0.35">
      <c r="F22" s="27" t="s">
        <v>29</v>
      </c>
      <c r="G22" s="27"/>
      <c r="H22" s="27"/>
    </row>
    <row r="23" spans="1:9" x14ac:dyDescent="0.35">
      <c r="F23" s="27" t="s">
        <v>13</v>
      </c>
      <c r="G23" s="27"/>
      <c r="H23" s="27"/>
    </row>
  </sheetData>
  <mergeCells count="8">
    <mergeCell ref="A20:C20"/>
    <mergeCell ref="F22:H22"/>
    <mergeCell ref="F23:H23"/>
    <mergeCell ref="A1:H1"/>
    <mergeCell ref="A2:H2"/>
    <mergeCell ref="A3:H3"/>
    <mergeCell ref="A18:C18"/>
    <mergeCell ref="A19:C19"/>
  </mergeCells>
  <pageMargins left="0.75" right="0.75" top="1" bottom="1" header="0.5" footer="0.5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45952-3592-42E7-9BE6-5B82A934335E}">
  <sheetPr>
    <tabColor rgb="FFC00000"/>
  </sheetPr>
  <dimension ref="A1:K50"/>
  <sheetViews>
    <sheetView zoomScale="129" workbookViewId="0">
      <selection activeCell="E5" sqref="E5"/>
    </sheetView>
  </sheetViews>
  <sheetFormatPr defaultRowHeight="14.5" x14ac:dyDescent="0.35"/>
  <cols>
    <col min="1" max="1" width="5" customWidth="1"/>
    <col min="2" max="2" width="13.54296875" customWidth="1"/>
    <col min="3" max="3" width="42.7265625" customWidth="1"/>
    <col min="4" max="4" width="7" customWidth="1"/>
    <col min="5" max="5" width="16.6328125" customWidth="1"/>
    <col min="6" max="6" width="16.54296875" customWidth="1"/>
    <col min="7" max="7" width="16.6328125" customWidth="1"/>
    <col min="8" max="8" width="11.6328125" customWidth="1"/>
    <col min="9" max="9" width="14.90625" bestFit="1" customWidth="1"/>
    <col min="11" max="11" width="12.26953125" bestFit="1" customWidth="1"/>
  </cols>
  <sheetData>
    <row r="1" spans="1:9" ht="15.5" x14ac:dyDescent="0.35">
      <c r="A1" s="31" t="s">
        <v>12</v>
      </c>
      <c r="B1" s="31"/>
      <c r="C1" s="31"/>
      <c r="D1" s="31"/>
      <c r="E1" s="31"/>
      <c r="F1" s="31"/>
      <c r="G1" s="31"/>
      <c r="H1" s="31"/>
    </row>
    <row r="2" spans="1:9" ht="15.5" x14ac:dyDescent="0.35">
      <c r="A2" s="31" t="s">
        <v>8</v>
      </c>
      <c r="B2" s="31"/>
      <c r="C2" s="31"/>
      <c r="D2" s="31"/>
      <c r="E2" s="31"/>
      <c r="F2" s="31"/>
      <c r="G2" s="31"/>
      <c r="H2" s="31"/>
    </row>
    <row r="3" spans="1:9" ht="15.5" x14ac:dyDescent="0.35">
      <c r="A3" s="31" t="s">
        <v>32</v>
      </c>
      <c r="B3" s="31"/>
      <c r="C3" s="31"/>
      <c r="D3" s="31"/>
      <c r="E3" s="31"/>
      <c r="F3" s="31"/>
      <c r="G3" s="31"/>
      <c r="H3" s="31"/>
    </row>
    <row r="4" spans="1:9" ht="15.5" x14ac:dyDescent="0.35">
      <c r="A4" s="2" t="s">
        <v>0</v>
      </c>
      <c r="B4" s="2" t="s">
        <v>1</v>
      </c>
      <c r="C4" s="2" t="s">
        <v>2</v>
      </c>
      <c r="D4" s="2" t="s">
        <v>11</v>
      </c>
      <c r="E4" s="2" t="s">
        <v>9</v>
      </c>
      <c r="F4" s="2" t="s">
        <v>10</v>
      </c>
      <c r="G4" s="2" t="s">
        <v>3</v>
      </c>
      <c r="H4" s="2" t="s">
        <v>4</v>
      </c>
    </row>
    <row r="5" spans="1:9" s="11" customFormat="1" x14ac:dyDescent="0.35">
      <c r="A5" s="7">
        <v>1</v>
      </c>
      <c r="B5" s="20">
        <v>46204</v>
      </c>
      <c r="C5" s="21" t="s">
        <v>14</v>
      </c>
      <c r="D5" s="22"/>
      <c r="E5" s="23">
        <f>'Juni '!E20</f>
        <v>8208000</v>
      </c>
      <c r="F5" s="23">
        <f>'Juni '!F20</f>
        <v>11453570</v>
      </c>
      <c r="G5" s="23">
        <f>'Juni '!G20</f>
        <v>3245570</v>
      </c>
      <c r="H5" s="24"/>
      <c r="I5" s="17">
        <f>G5*5%</f>
        <v>162278.5</v>
      </c>
    </row>
    <row r="6" spans="1:9" s="13" customFormat="1" x14ac:dyDescent="0.35">
      <c r="A6" s="12">
        <v>2</v>
      </c>
      <c r="B6" s="19"/>
      <c r="C6" s="8"/>
      <c r="D6" s="9"/>
      <c r="E6" s="10"/>
      <c r="F6" s="10"/>
      <c r="G6" s="10"/>
      <c r="H6" s="9"/>
    </row>
    <row r="7" spans="1:9" s="13" customFormat="1" x14ac:dyDescent="0.35">
      <c r="A7" s="12">
        <v>3</v>
      </c>
      <c r="B7" s="18"/>
      <c r="C7" s="14"/>
      <c r="D7" s="14"/>
      <c r="E7" s="6"/>
      <c r="F7" s="6"/>
      <c r="G7" s="6"/>
      <c r="H7" s="14"/>
    </row>
    <row r="8" spans="1:9" s="13" customFormat="1" x14ac:dyDescent="0.35">
      <c r="A8" s="12">
        <v>4</v>
      </c>
      <c r="B8" s="18"/>
      <c r="C8" s="14"/>
      <c r="D8" s="14"/>
      <c r="E8" s="6"/>
      <c r="F8" s="6"/>
      <c r="G8" s="6"/>
      <c r="H8" s="14"/>
    </row>
    <row r="9" spans="1:9" s="13" customFormat="1" x14ac:dyDescent="0.35">
      <c r="A9" s="12">
        <v>5</v>
      </c>
      <c r="B9" s="18"/>
      <c r="C9" s="14"/>
      <c r="D9" s="14"/>
      <c r="E9" s="6"/>
      <c r="F9" s="6"/>
      <c r="G9" s="6"/>
      <c r="H9" s="14"/>
    </row>
    <row r="10" spans="1:9" s="13" customFormat="1" x14ac:dyDescent="0.35">
      <c r="A10" s="12">
        <v>6</v>
      </c>
      <c r="B10" s="18"/>
      <c r="C10" s="14"/>
      <c r="D10" s="14"/>
      <c r="E10" s="6"/>
      <c r="F10" s="6"/>
      <c r="G10" s="6"/>
      <c r="H10" s="14"/>
    </row>
    <row r="11" spans="1:9" s="13" customFormat="1" x14ac:dyDescent="0.35">
      <c r="A11" s="12">
        <v>7</v>
      </c>
      <c r="B11" s="18"/>
      <c r="C11" s="14"/>
      <c r="D11" s="14"/>
      <c r="E11" s="6"/>
      <c r="F11" s="6"/>
      <c r="G11" s="6"/>
      <c r="H11" s="14"/>
    </row>
    <row r="12" spans="1:9" s="13" customFormat="1" x14ac:dyDescent="0.35">
      <c r="A12" s="12">
        <v>8</v>
      </c>
      <c r="B12" s="18"/>
      <c r="C12" s="14"/>
      <c r="D12" s="14"/>
      <c r="E12" s="6"/>
      <c r="F12" s="6"/>
      <c r="G12" s="6"/>
      <c r="H12" s="14"/>
    </row>
    <row r="13" spans="1:9" s="13" customFormat="1" x14ac:dyDescent="0.35">
      <c r="A13" s="12">
        <v>9</v>
      </c>
      <c r="B13" s="18"/>
      <c r="C13" s="14"/>
      <c r="D13" s="14"/>
      <c r="E13" s="6"/>
      <c r="F13" s="6"/>
      <c r="G13" s="6"/>
      <c r="H13" s="14"/>
    </row>
    <row r="14" spans="1:9" s="13" customFormat="1" x14ac:dyDescent="0.35">
      <c r="A14" s="12">
        <v>10</v>
      </c>
      <c r="B14" s="18"/>
      <c r="C14" s="14"/>
      <c r="D14" s="14"/>
      <c r="E14" s="6"/>
      <c r="F14" s="6"/>
      <c r="G14" s="6"/>
      <c r="H14" s="14"/>
    </row>
    <row r="15" spans="1:9" s="13" customFormat="1" x14ac:dyDescent="0.35">
      <c r="A15" s="12">
        <v>11</v>
      </c>
      <c r="B15" s="18"/>
      <c r="C15" s="14"/>
      <c r="D15" s="14"/>
      <c r="E15" s="6"/>
      <c r="F15" s="6"/>
      <c r="G15" s="6"/>
      <c r="H15" s="14"/>
    </row>
    <row r="16" spans="1:9" s="13" customFormat="1" x14ac:dyDescent="0.35">
      <c r="A16" s="12">
        <v>12</v>
      </c>
      <c r="B16" s="18"/>
      <c r="C16" s="14"/>
      <c r="D16" s="14"/>
      <c r="E16" s="6"/>
      <c r="F16" s="6"/>
      <c r="G16" s="6"/>
      <c r="H16" s="14"/>
    </row>
    <row r="17" spans="1:8" s="13" customFormat="1" x14ac:dyDescent="0.35">
      <c r="A17" s="12">
        <v>13</v>
      </c>
      <c r="B17" s="18"/>
      <c r="C17" s="14"/>
      <c r="D17" s="14"/>
      <c r="E17" s="6"/>
      <c r="F17" s="6"/>
      <c r="G17" s="6"/>
      <c r="H17" s="14"/>
    </row>
    <row r="18" spans="1:8" s="13" customFormat="1" x14ac:dyDescent="0.35">
      <c r="A18" s="12">
        <v>14</v>
      </c>
      <c r="B18" s="18"/>
      <c r="C18" s="14"/>
      <c r="D18" s="14"/>
      <c r="E18" s="6"/>
      <c r="F18" s="6"/>
      <c r="G18" s="6"/>
      <c r="H18" s="14"/>
    </row>
    <row r="19" spans="1:8" s="13" customFormat="1" x14ac:dyDescent="0.35">
      <c r="A19" s="12">
        <v>15</v>
      </c>
      <c r="B19" s="18"/>
      <c r="C19" s="14"/>
      <c r="D19" s="14"/>
      <c r="E19" s="6"/>
      <c r="F19" s="6"/>
      <c r="G19" s="6"/>
      <c r="H19" s="14"/>
    </row>
    <row r="20" spans="1:8" s="13" customFormat="1" x14ac:dyDescent="0.35">
      <c r="A20" s="12">
        <v>16</v>
      </c>
      <c r="B20" s="18"/>
      <c r="C20" s="14"/>
      <c r="D20" s="14"/>
      <c r="E20" s="6"/>
      <c r="F20" s="6"/>
      <c r="G20" s="6"/>
      <c r="H20" s="14"/>
    </row>
    <row r="21" spans="1:8" s="13" customFormat="1" x14ac:dyDescent="0.35">
      <c r="A21" s="12">
        <v>17</v>
      </c>
      <c r="B21" s="18"/>
      <c r="C21" s="14"/>
      <c r="D21" s="14"/>
      <c r="E21" s="6"/>
      <c r="F21" s="6"/>
      <c r="G21" s="6"/>
      <c r="H21" s="14"/>
    </row>
    <row r="22" spans="1:8" s="13" customFormat="1" x14ac:dyDescent="0.35">
      <c r="A22" s="12">
        <v>18</v>
      </c>
      <c r="B22" s="18"/>
      <c r="C22" s="14"/>
      <c r="D22" s="14"/>
      <c r="E22" s="6"/>
      <c r="F22" s="6"/>
      <c r="G22" s="6"/>
      <c r="H22" s="14"/>
    </row>
    <row r="23" spans="1:8" s="13" customFormat="1" x14ac:dyDescent="0.35">
      <c r="A23" s="12">
        <v>19</v>
      </c>
      <c r="B23" s="18"/>
      <c r="C23" s="14"/>
      <c r="D23" s="14"/>
      <c r="E23" s="6"/>
      <c r="F23" s="6"/>
      <c r="G23" s="6"/>
      <c r="H23" s="14"/>
    </row>
    <row r="24" spans="1:8" s="13" customFormat="1" x14ac:dyDescent="0.35">
      <c r="A24" s="12">
        <v>20</v>
      </c>
      <c r="B24" s="18"/>
      <c r="C24" s="14"/>
      <c r="D24" s="14"/>
      <c r="E24" s="6"/>
      <c r="F24" s="6"/>
      <c r="G24" s="6"/>
      <c r="H24" s="14"/>
    </row>
    <row r="25" spans="1:8" s="13" customFormat="1" x14ac:dyDescent="0.35">
      <c r="A25" s="12">
        <v>21</v>
      </c>
      <c r="B25" s="18"/>
      <c r="C25" s="14"/>
      <c r="D25" s="14"/>
      <c r="E25" s="6"/>
      <c r="F25" s="6"/>
      <c r="G25" s="6"/>
      <c r="H25" s="14"/>
    </row>
    <row r="26" spans="1:8" s="13" customFormat="1" x14ac:dyDescent="0.35">
      <c r="A26" s="12">
        <v>22</v>
      </c>
      <c r="B26" s="18"/>
      <c r="C26" s="14"/>
      <c r="D26" s="14"/>
      <c r="E26" s="6"/>
      <c r="F26" s="6"/>
      <c r="G26" s="6"/>
      <c r="H26" s="14"/>
    </row>
    <row r="27" spans="1:8" s="13" customFormat="1" x14ac:dyDescent="0.35">
      <c r="A27" s="12">
        <v>23</v>
      </c>
      <c r="B27" s="18"/>
      <c r="C27" s="14"/>
      <c r="D27" s="14"/>
      <c r="E27" s="6"/>
      <c r="F27" s="6"/>
      <c r="G27" s="6"/>
      <c r="H27" s="14"/>
    </row>
    <row r="28" spans="1:8" s="13" customFormat="1" x14ac:dyDescent="0.35">
      <c r="A28" s="12">
        <v>24</v>
      </c>
      <c r="B28" s="18"/>
      <c r="C28" s="14"/>
      <c r="D28" s="14"/>
      <c r="E28" s="6"/>
      <c r="F28" s="6"/>
      <c r="G28" s="6"/>
      <c r="H28" s="14"/>
    </row>
    <row r="29" spans="1:8" s="13" customFormat="1" x14ac:dyDescent="0.35">
      <c r="A29" s="12">
        <v>25</v>
      </c>
      <c r="B29" s="18"/>
      <c r="C29" s="14"/>
      <c r="D29" s="14"/>
      <c r="E29" s="6"/>
      <c r="F29" s="6"/>
      <c r="G29" s="6"/>
      <c r="H29" s="14"/>
    </row>
    <row r="30" spans="1:8" s="13" customFormat="1" x14ac:dyDescent="0.35">
      <c r="A30" s="12">
        <v>26</v>
      </c>
      <c r="B30" s="18"/>
      <c r="C30" s="14"/>
      <c r="D30" s="14"/>
      <c r="E30" s="6"/>
      <c r="F30" s="6"/>
      <c r="G30" s="6"/>
      <c r="H30" s="14"/>
    </row>
    <row r="31" spans="1:8" s="13" customFormat="1" x14ac:dyDescent="0.35">
      <c r="A31" s="12">
        <v>27</v>
      </c>
      <c r="B31" s="18"/>
      <c r="C31" s="14"/>
      <c r="D31" s="14"/>
      <c r="E31" s="6"/>
      <c r="F31" s="6"/>
      <c r="G31" s="6"/>
      <c r="H31" s="14"/>
    </row>
    <row r="32" spans="1:8" s="13" customFormat="1" x14ac:dyDescent="0.35">
      <c r="A32" s="12">
        <v>28</v>
      </c>
      <c r="B32" s="18"/>
      <c r="C32" s="14"/>
      <c r="D32" s="14"/>
      <c r="E32" s="6"/>
      <c r="F32" s="6"/>
      <c r="G32" s="6"/>
      <c r="H32" s="14"/>
    </row>
    <row r="33" spans="1:11" s="13" customFormat="1" x14ac:dyDescent="0.35">
      <c r="A33" s="12">
        <v>29</v>
      </c>
      <c r="B33" s="18"/>
      <c r="C33" s="14"/>
      <c r="D33" s="14"/>
      <c r="E33" s="6"/>
      <c r="F33" s="6"/>
      <c r="G33" s="6"/>
      <c r="H33" s="14"/>
    </row>
    <row r="34" spans="1:11" s="13" customFormat="1" x14ac:dyDescent="0.35">
      <c r="A34" s="12">
        <v>30</v>
      </c>
      <c r="B34" s="18"/>
      <c r="C34" s="14"/>
      <c r="D34" s="14"/>
      <c r="E34" s="6"/>
      <c r="F34" s="6"/>
      <c r="G34" s="6"/>
      <c r="H34" s="14"/>
    </row>
    <row r="35" spans="1:11" s="13" customFormat="1" x14ac:dyDescent="0.35">
      <c r="A35" s="12">
        <v>31</v>
      </c>
      <c r="B35" s="18"/>
      <c r="C35" s="14"/>
      <c r="D35" s="14"/>
      <c r="E35" s="6"/>
      <c r="F35" s="6"/>
      <c r="G35" s="6"/>
      <c r="H35" s="14"/>
    </row>
    <row r="36" spans="1:11" s="13" customFormat="1" x14ac:dyDescent="0.35">
      <c r="A36" s="12">
        <v>32</v>
      </c>
      <c r="B36" s="18"/>
      <c r="C36" s="14"/>
      <c r="D36" s="14"/>
      <c r="E36" s="6"/>
      <c r="F36" s="6"/>
      <c r="G36" s="6"/>
      <c r="H36" s="32"/>
    </row>
    <row r="37" spans="1:11" s="13" customFormat="1" x14ac:dyDescent="0.35">
      <c r="A37" s="12">
        <v>33</v>
      </c>
      <c r="B37" s="18"/>
      <c r="C37" s="14"/>
      <c r="D37" s="14"/>
      <c r="E37" s="6"/>
      <c r="F37" s="6"/>
      <c r="G37" s="6"/>
      <c r="H37" s="33"/>
    </row>
    <row r="38" spans="1:11" s="13" customFormat="1" x14ac:dyDescent="0.35">
      <c r="A38" s="12">
        <v>34</v>
      </c>
      <c r="B38" s="18"/>
      <c r="C38" s="14"/>
      <c r="D38" s="14"/>
      <c r="E38" s="6"/>
      <c r="F38" s="6"/>
      <c r="G38" s="6"/>
      <c r="H38" s="33"/>
    </row>
    <row r="39" spans="1:11" s="13" customFormat="1" x14ac:dyDescent="0.35">
      <c r="A39" s="12">
        <v>35</v>
      </c>
      <c r="B39" s="18"/>
      <c r="C39" s="14"/>
      <c r="D39" s="14"/>
      <c r="E39" s="6"/>
      <c r="F39" s="6"/>
      <c r="G39" s="6"/>
      <c r="H39" s="33"/>
    </row>
    <row r="40" spans="1:11" s="13" customFormat="1" x14ac:dyDescent="0.35">
      <c r="A40" s="12">
        <v>36</v>
      </c>
      <c r="B40" s="18"/>
      <c r="C40" s="14"/>
      <c r="D40" s="14"/>
      <c r="E40" s="6"/>
      <c r="F40" s="6"/>
      <c r="G40" s="6"/>
      <c r="H40" s="33"/>
    </row>
    <row r="41" spans="1:11" s="13" customFormat="1" x14ac:dyDescent="0.35">
      <c r="A41" s="12">
        <v>37</v>
      </c>
      <c r="B41" s="18"/>
      <c r="C41" s="14"/>
      <c r="D41" s="14"/>
      <c r="E41" s="6"/>
      <c r="F41" s="6"/>
      <c r="G41" s="6"/>
      <c r="H41" s="33"/>
    </row>
    <row r="42" spans="1:11" s="13" customFormat="1" x14ac:dyDescent="0.35">
      <c r="A42" s="12">
        <v>38</v>
      </c>
      <c r="B42" s="18"/>
      <c r="C42" s="14"/>
      <c r="D42" s="14"/>
      <c r="E42" s="6"/>
      <c r="F42" s="6"/>
      <c r="G42" s="6"/>
      <c r="H42" s="33"/>
    </row>
    <row r="43" spans="1:11" s="13" customFormat="1" x14ac:dyDescent="0.35">
      <c r="A43" s="12">
        <v>39</v>
      </c>
      <c r="B43" s="18"/>
      <c r="C43" s="14"/>
      <c r="D43" s="14"/>
      <c r="E43" s="6"/>
      <c r="F43" s="6"/>
      <c r="G43" s="6"/>
      <c r="H43" s="34"/>
    </row>
    <row r="44" spans="1:11" s="13" customFormat="1" x14ac:dyDescent="0.35">
      <c r="A44" s="12">
        <v>40</v>
      </c>
      <c r="B44" s="15"/>
      <c r="C44" s="14"/>
      <c r="D44" s="14"/>
      <c r="E44" s="6"/>
      <c r="F44" s="6"/>
      <c r="G44" s="6"/>
      <c r="I44" s="16">
        <f>SUM(E7:E44)</f>
        <v>0</v>
      </c>
      <c r="J44" s="13">
        <f>1782500</f>
        <v>1782500</v>
      </c>
      <c r="K44" s="16">
        <f>I44-J44</f>
        <v>-1782500</v>
      </c>
    </row>
    <row r="45" spans="1:11" x14ac:dyDescent="0.35">
      <c r="A45" s="28" t="s">
        <v>5</v>
      </c>
      <c r="B45" s="29"/>
      <c r="C45" s="30"/>
      <c r="D45" s="3"/>
      <c r="E45" s="4">
        <f>SUM(E6:E44)</f>
        <v>0</v>
      </c>
      <c r="F45" s="4">
        <f>SUM(F6:F44)</f>
        <v>0</v>
      </c>
      <c r="G45" s="4">
        <f>F45-E45</f>
        <v>0</v>
      </c>
      <c r="H45" s="1"/>
    </row>
    <row r="46" spans="1:11" x14ac:dyDescent="0.35">
      <c r="A46" s="28" t="s">
        <v>6</v>
      </c>
      <c r="B46" s="29"/>
      <c r="C46" s="30"/>
      <c r="D46" s="3"/>
      <c r="E46" s="4">
        <f>E5+E45</f>
        <v>8208000</v>
      </c>
      <c r="F46" s="4">
        <f t="shared" ref="F46:G46" si="0">F5+F45</f>
        <v>11453570</v>
      </c>
      <c r="G46" s="4">
        <f t="shared" si="0"/>
        <v>3245570</v>
      </c>
      <c r="H46" s="1"/>
    </row>
    <row r="47" spans="1:11" x14ac:dyDescent="0.35">
      <c r="A47" s="28" t="s">
        <v>7</v>
      </c>
      <c r="B47" s="29"/>
      <c r="C47" s="30"/>
      <c r="D47" s="3"/>
      <c r="E47" s="4">
        <f t="shared" ref="E47:G47" si="1">E46</f>
        <v>8208000</v>
      </c>
      <c r="F47" s="4">
        <f t="shared" si="1"/>
        <v>11453570</v>
      </c>
      <c r="G47" s="4">
        <f t="shared" si="1"/>
        <v>3245570</v>
      </c>
      <c r="H47" s="1"/>
      <c r="I47" s="5">
        <f>2477500-1782500</f>
        <v>695000</v>
      </c>
    </row>
    <row r="49" spans="6:8" x14ac:dyDescent="0.35">
      <c r="F49" s="27" t="s">
        <v>30</v>
      </c>
      <c r="G49" s="27"/>
      <c r="H49" s="27"/>
    </row>
    <row r="50" spans="6:8" x14ac:dyDescent="0.35">
      <c r="F50" s="27" t="s">
        <v>13</v>
      </c>
      <c r="G50" s="27"/>
      <c r="H50" s="27"/>
    </row>
  </sheetData>
  <mergeCells count="9">
    <mergeCell ref="A47:C47"/>
    <mergeCell ref="F49:H49"/>
    <mergeCell ref="F50:H50"/>
    <mergeCell ref="A1:H1"/>
    <mergeCell ref="A2:H2"/>
    <mergeCell ref="A3:H3"/>
    <mergeCell ref="H36:H43"/>
    <mergeCell ref="A45:C45"/>
    <mergeCell ref="A46:C46"/>
  </mergeCells>
  <pageMargins left="0.75" right="0.75" top="1" bottom="1" header="0.5" footer="0.5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2953F-5B99-4174-ACB0-6D7A8A192199}">
  <sheetPr>
    <tabColor rgb="FFFF0000"/>
  </sheetPr>
  <dimension ref="A1:K50"/>
  <sheetViews>
    <sheetView zoomScale="129" workbookViewId="0">
      <selection activeCell="E5" sqref="E5:G5"/>
    </sheetView>
  </sheetViews>
  <sheetFormatPr defaultRowHeight="14.5" x14ac:dyDescent="0.35"/>
  <cols>
    <col min="1" max="1" width="5" customWidth="1"/>
    <col min="2" max="2" width="13.54296875" customWidth="1"/>
    <col min="3" max="3" width="42.7265625" customWidth="1"/>
    <col min="4" max="4" width="7" customWidth="1"/>
    <col min="5" max="5" width="16.6328125" customWidth="1"/>
    <col min="6" max="6" width="16.54296875" customWidth="1"/>
    <col min="7" max="7" width="16.6328125" customWidth="1"/>
    <col min="8" max="8" width="11.6328125" customWidth="1"/>
    <col min="9" max="9" width="14.90625" bestFit="1" customWidth="1"/>
    <col min="11" max="11" width="12.26953125" bestFit="1" customWidth="1"/>
  </cols>
  <sheetData>
    <row r="1" spans="1:9" ht="15.5" x14ac:dyDescent="0.35">
      <c r="A1" s="31" t="s">
        <v>12</v>
      </c>
      <c r="B1" s="31"/>
      <c r="C1" s="31"/>
      <c r="D1" s="31"/>
      <c r="E1" s="31"/>
      <c r="F1" s="31"/>
      <c r="G1" s="31"/>
      <c r="H1" s="31"/>
    </row>
    <row r="2" spans="1:9" ht="15.5" x14ac:dyDescent="0.35">
      <c r="A2" s="31" t="s">
        <v>8</v>
      </c>
      <c r="B2" s="31"/>
      <c r="C2" s="31"/>
      <c r="D2" s="31"/>
      <c r="E2" s="31"/>
      <c r="F2" s="31"/>
      <c r="G2" s="31"/>
      <c r="H2" s="31"/>
    </row>
    <row r="3" spans="1:9" ht="15.5" x14ac:dyDescent="0.35">
      <c r="A3" s="31" t="s">
        <v>33</v>
      </c>
      <c r="B3" s="31"/>
      <c r="C3" s="31"/>
      <c r="D3" s="31"/>
      <c r="E3" s="31"/>
      <c r="F3" s="31"/>
      <c r="G3" s="31"/>
      <c r="H3" s="31"/>
    </row>
    <row r="4" spans="1:9" ht="15.5" x14ac:dyDescent="0.35">
      <c r="A4" s="2" t="s">
        <v>0</v>
      </c>
      <c r="B4" s="2" t="s">
        <v>1</v>
      </c>
      <c r="C4" s="2" t="s">
        <v>2</v>
      </c>
      <c r="D4" s="2" t="s">
        <v>11</v>
      </c>
      <c r="E4" s="2" t="s">
        <v>9</v>
      </c>
      <c r="F4" s="2" t="s">
        <v>10</v>
      </c>
      <c r="G4" s="2" t="s">
        <v>3</v>
      </c>
      <c r="H4" s="2" t="s">
        <v>4</v>
      </c>
    </row>
    <row r="5" spans="1:9" s="11" customFormat="1" x14ac:dyDescent="0.35">
      <c r="A5" s="7">
        <v>1</v>
      </c>
      <c r="B5" s="20">
        <v>46235</v>
      </c>
      <c r="C5" s="21" t="s">
        <v>14</v>
      </c>
      <c r="D5" s="22"/>
      <c r="E5" s="23">
        <f>Juli!E47</f>
        <v>8208000</v>
      </c>
      <c r="F5" s="23">
        <f>Juli!F47</f>
        <v>11453570</v>
      </c>
      <c r="G5" s="23">
        <f>Juli!G47</f>
        <v>3245570</v>
      </c>
      <c r="H5" s="24"/>
      <c r="I5" s="17">
        <f>G5*5%</f>
        <v>162278.5</v>
      </c>
    </row>
    <row r="6" spans="1:9" s="13" customFormat="1" x14ac:dyDescent="0.35">
      <c r="A6" s="12">
        <v>2</v>
      </c>
      <c r="B6" s="19"/>
      <c r="C6" s="8"/>
      <c r="D6" s="9"/>
      <c r="E6" s="10"/>
      <c r="F6" s="10"/>
      <c r="G6" s="10"/>
      <c r="H6" s="9"/>
    </row>
    <row r="7" spans="1:9" s="13" customFormat="1" x14ac:dyDescent="0.35">
      <c r="A7" s="12">
        <v>3</v>
      </c>
      <c r="B7" s="18"/>
      <c r="C7" s="14"/>
      <c r="D7" s="14"/>
      <c r="E7" s="6"/>
      <c r="F7" s="6"/>
      <c r="G7" s="6"/>
      <c r="H7" s="14"/>
    </row>
    <row r="8" spans="1:9" s="13" customFormat="1" x14ac:dyDescent="0.35">
      <c r="A8" s="12">
        <v>4</v>
      </c>
      <c r="B8" s="18"/>
      <c r="C8" s="14"/>
      <c r="D8" s="14"/>
      <c r="E8" s="6"/>
      <c r="F8" s="6"/>
      <c r="G8" s="6"/>
      <c r="H8" s="14"/>
    </row>
    <row r="9" spans="1:9" s="13" customFormat="1" x14ac:dyDescent="0.35">
      <c r="A9" s="12">
        <v>5</v>
      </c>
      <c r="B9" s="18"/>
      <c r="C9" s="14"/>
      <c r="D9" s="14"/>
      <c r="E9" s="6"/>
      <c r="F9" s="6"/>
      <c r="G9" s="6"/>
      <c r="H9" s="14"/>
    </row>
    <row r="10" spans="1:9" s="13" customFormat="1" x14ac:dyDescent="0.35">
      <c r="A10" s="12">
        <v>6</v>
      </c>
      <c r="B10" s="18"/>
      <c r="C10" s="14"/>
      <c r="D10" s="14"/>
      <c r="E10" s="6"/>
      <c r="F10" s="6"/>
      <c r="G10" s="6"/>
      <c r="H10" s="14"/>
    </row>
    <row r="11" spans="1:9" s="13" customFormat="1" x14ac:dyDescent="0.35">
      <c r="A11" s="12">
        <v>7</v>
      </c>
      <c r="B11" s="18"/>
      <c r="C11" s="14"/>
      <c r="D11" s="14"/>
      <c r="E11" s="6"/>
      <c r="F11" s="6"/>
      <c r="G11" s="6"/>
      <c r="H11" s="14"/>
    </row>
    <row r="12" spans="1:9" s="13" customFormat="1" x14ac:dyDescent="0.35">
      <c r="A12" s="12">
        <v>8</v>
      </c>
      <c r="B12" s="18"/>
      <c r="C12" s="14"/>
      <c r="D12" s="14"/>
      <c r="E12" s="6"/>
      <c r="F12" s="6"/>
      <c r="G12" s="6"/>
      <c r="H12" s="14"/>
    </row>
    <row r="13" spans="1:9" s="13" customFormat="1" x14ac:dyDescent="0.35">
      <c r="A13" s="12">
        <v>9</v>
      </c>
      <c r="B13" s="18"/>
      <c r="C13" s="14"/>
      <c r="D13" s="14"/>
      <c r="E13" s="6"/>
      <c r="F13" s="6"/>
      <c r="G13" s="6"/>
      <c r="H13" s="14"/>
    </row>
    <row r="14" spans="1:9" s="13" customFormat="1" x14ac:dyDescent="0.35">
      <c r="A14" s="12">
        <v>10</v>
      </c>
      <c r="B14" s="18"/>
      <c r="C14" s="14"/>
      <c r="D14" s="14"/>
      <c r="E14" s="6"/>
      <c r="F14" s="6"/>
      <c r="G14" s="6"/>
      <c r="H14" s="14"/>
    </row>
    <row r="15" spans="1:9" s="13" customFormat="1" x14ac:dyDescent="0.35">
      <c r="A15" s="12">
        <v>11</v>
      </c>
      <c r="B15" s="18"/>
      <c r="C15" s="14"/>
      <c r="D15" s="14"/>
      <c r="E15" s="6"/>
      <c r="F15" s="6"/>
      <c r="G15" s="6"/>
      <c r="H15" s="14"/>
    </row>
    <row r="16" spans="1:9" s="13" customFormat="1" x14ac:dyDescent="0.35">
      <c r="A16" s="12">
        <v>12</v>
      </c>
      <c r="B16" s="18"/>
      <c r="C16" s="14"/>
      <c r="D16" s="14"/>
      <c r="E16" s="6"/>
      <c r="F16" s="6"/>
      <c r="G16" s="6"/>
      <c r="H16" s="14"/>
    </row>
    <row r="17" spans="1:8" s="13" customFormat="1" x14ac:dyDescent="0.35">
      <c r="A17" s="12">
        <v>13</v>
      </c>
      <c r="B17" s="18"/>
      <c r="C17" s="14"/>
      <c r="D17" s="14"/>
      <c r="E17" s="6"/>
      <c r="F17" s="6"/>
      <c r="G17" s="6"/>
      <c r="H17" s="14"/>
    </row>
    <row r="18" spans="1:8" s="13" customFormat="1" x14ac:dyDescent="0.35">
      <c r="A18" s="12">
        <v>14</v>
      </c>
      <c r="B18" s="18"/>
      <c r="C18" s="14"/>
      <c r="D18" s="14"/>
      <c r="E18" s="6"/>
      <c r="F18" s="6"/>
      <c r="G18" s="6"/>
      <c r="H18" s="14"/>
    </row>
    <row r="19" spans="1:8" s="13" customFormat="1" x14ac:dyDescent="0.35">
      <c r="A19" s="12">
        <v>15</v>
      </c>
      <c r="B19" s="18"/>
      <c r="C19" s="14"/>
      <c r="D19" s="14"/>
      <c r="E19" s="6"/>
      <c r="F19" s="6"/>
      <c r="G19" s="6"/>
      <c r="H19" s="14"/>
    </row>
    <row r="20" spans="1:8" s="13" customFormat="1" x14ac:dyDescent="0.35">
      <c r="A20" s="12">
        <v>16</v>
      </c>
      <c r="B20" s="18"/>
      <c r="C20" s="14"/>
      <c r="D20" s="14"/>
      <c r="E20" s="6"/>
      <c r="F20" s="6"/>
      <c r="G20" s="6"/>
      <c r="H20" s="14"/>
    </row>
    <row r="21" spans="1:8" s="13" customFormat="1" x14ac:dyDescent="0.35">
      <c r="A21" s="12">
        <v>17</v>
      </c>
      <c r="B21" s="18"/>
      <c r="C21" s="14"/>
      <c r="D21" s="14"/>
      <c r="E21" s="6"/>
      <c r="F21" s="6"/>
      <c r="G21" s="6"/>
      <c r="H21" s="14"/>
    </row>
    <row r="22" spans="1:8" s="13" customFormat="1" x14ac:dyDescent="0.35">
      <c r="A22" s="12">
        <v>18</v>
      </c>
      <c r="B22" s="18"/>
      <c r="C22" s="14"/>
      <c r="D22" s="14"/>
      <c r="E22" s="6"/>
      <c r="F22" s="6"/>
      <c r="G22" s="6"/>
      <c r="H22" s="14"/>
    </row>
    <row r="23" spans="1:8" s="13" customFormat="1" x14ac:dyDescent="0.35">
      <c r="A23" s="12">
        <v>19</v>
      </c>
      <c r="B23" s="18"/>
      <c r="C23" s="14"/>
      <c r="D23" s="14"/>
      <c r="E23" s="6"/>
      <c r="F23" s="6"/>
      <c r="G23" s="6"/>
      <c r="H23" s="14"/>
    </row>
    <row r="24" spans="1:8" s="13" customFormat="1" x14ac:dyDescent="0.35">
      <c r="A24" s="12">
        <v>20</v>
      </c>
      <c r="B24" s="18"/>
      <c r="C24" s="14"/>
      <c r="D24" s="14"/>
      <c r="E24" s="6"/>
      <c r="F24" s="6"/>
      <c r="G24" s="6"/>
      <c r="H24" s="14"/>
    </row>
    <row r="25" spans="1:8" s="13" customFormat="1" x14ac:dyDescent="0.35">
      <c r="A25" s="12">
        <v>21</v>
      </c>
      <c r="B25" s="18"/>
      <c r="C25" s="14"/>
      <c r="D25" s="14"/>
      <c r="E25" s="6"/>
      <c r="F25" s="6"/>
      <c r="G25" s="6"/>
      <c r="H25" s="14"/>
    </row>
    <row r="26" spans="1:8" s="13" customFormat="1" x14ac:dyDescent="0.35">
      <c r="A26" s="12">
        <v>22</v>
      </c>
      <c r="B26" s="18"/>
      <c r="C26" s="14"/>
      <c r="D26" s="14"/>
      <c r="E26" s="6"/>
      <c r="F26" s="6"/>
      <c r="G26" s="6"/>
      <c r="H26" s="14"/>
    </row>
    <row r="27" spans="1:8" s="13" customFormat="1" x14ac:dyDescent="0.35">
      <c r="A27" s="12">
        <v>23</v>
      </c>
      <c r="B27" s="18"/>
      <c r="C27" s="14"/>
      <c r="D27" s="14"/>
      <c r="E27" s="6"/>
      <c r="F27" s="6"/>
      <c r="G27" s="6"/>
      <c r="H27" s="14"/>
    </row>
    <row r="28" spans="1:8" s="13" customFormat="1" x14ac:dyDescent="0.35">
      <c r="A28" s="12">
        <v>24</v>
      </c>
      <c r="B28" s="18"/>
      <c r="C28" s="14"/>
      <c r="D28" s="14"/>
      <c r="E28" s="6"/>
      <c r="F28" s="6"/>
      <c r="G28" s="6"/>
      <c r="H28" s="14"/>
    </row>
    <row r="29" spans="1:8" s="13" customFormat="1" x14ac:dyDescent="0.35">
      <c r="A29" s="12">
        <v>25</v>
      </c>
      <c r="B29" s="18"/>
      <c r="C29" s="14"/>
      <c r="D29" s="14"/>
      <c r="E29" s="6"/>
      <c r="F29" s="6"/>
      <c r="G29" s="6"/>
      <c r="H29" s="14"/>
    </row>
    <row r="30" spans="1:8" s="13" customFormat="1" x14ac:dyDescent="0.35">
      <c r="A30" s="12">
        <v>26</v>
      </c>
      <c r="B30" s="18"/>
      <c r="C30" s="14"/>
      <c r="D30" s="14"/>
      <c r="E30" s="6"/>
      <c r="F30" s="6"/>
      <c r="G30" s="6"/>
      <c r="H30" s="14"/>
    </row>
    <row r="31" spans="1:8" s="13" customFormat="1" x14ac:dyDescent="0.35">
      <c r="A31" s="12">
        <v>27</v>
      </c>
      <c r="B31" s="18"/>
      <c r="C31" s="14"/>
      <c r="D31" s="14"/>
      <c r="E31" s="6"/>
      <c r="F31" s="6"/>
      <c r="G31" s="6"/>
      <c r="H31" s="14"/>
    </row>
    <row r="32" spans="1:8" s="13" customFormat="1" x14ac:dyDescent="0.35">
      <c r="A32" s="12">
        <v>28</v>
      </c>
      <c r="B32" s="18"/>
      <c r="C32" s="14"/>
      <c r="D32" s="14"/>
      <c r="E32" s="6"/>
      <c r="F32" s="6"/>
      <c r="G32" s="6"/>
      <c r="H32" s="14"/>
    </row>
    <row r="33" spans="1:11" s="13" customFormat="1" x14ac:dyDescent="0.35">
      <c r="A33" s="12">
        <v>29</v>
      </c>
      <c r="B33" s="18"/>
      <c r="C33" s="14"/>
      <c r="D33" s="14"/>
      <c r="E33" s="6"/>
      <c r="F33" s="6"/>
      <c r="G33" s="6"/>
      <c r="H33" s="14"/>
    </row>
    <row r="34" spans="1:11" s="13" customFormat="1" x14ac:dyDescent="0.35">
      <c r="A34" s="12">
        <v>30</v>
      </c>
      <c r="B34" s="18"/>
      <c r="C34" s="14"/>
      <c r="D34" s="14"/>
      <c r="E34" s="6"/>
      <c r="F34" s="6"/>
      <c r="G34" s="6"/>
      <c r="H34" s="14"/>
    </row>
    <row r="35" spans="1:11" s="13" customFormat="1" x14ac:dyDescent="0.35">
      <c r="A35" s="12">
        <v>31</v>
      </c>
      <c r="B35" s="18"/>
      <c r="C35" s="14"/>
      <c r="D35" s="14"/>
      <c r="E35" s="6"/>
      <c r="F35" s="6"/>
      <c r="G35" s="6"/>
      <c r="H35" s="14"/>
    </row>
    <row r="36" spans="1:11" s="13" customFormat="1" x14ac:dyDescent="0.35">
      <c r="A36" s="12">
        <v>32</v>
      </c>
      <c r="B36" s="18"/>
      <c r="C36" s="14"/>
      <c r="D36" s="14"/>
      <c r="E36" s="6"/>
      <c r="F36" s="6"/>
      <c r="G36" s="6"/>
      <c r="H36" s="32"/>
    </row>
    <row r="37" spans="1:11" s="13" customFormat="1" x14ac:dyDescent="0.35">
      <c r="A37" s="12">
        <v>33</v>
      </c>
      <c r="B37" s="18"/>
      <c r="C37" s="14"/>
      <c r="D37" s="14"/>
      <c r="E37" s="6"/>
      <c r="F37" s="6"/>
      <c r="G37" s="6"/>
      <c r="H37" s="33"/>
    </row>
    <row r="38" spans="1:11" s="13" customFormat="1" x14ac:dyDescent="0.35">
      <c r="A38" s="12">
        <v>34</v>
      </c>
      <c r="B38" s="18"/>
      <c r="C38" s="14"/>
      <c r="D38" s="14"/>
      <c r="E38" s="6"/>
      <c r="F38" s="6"/>
      <c r="G38" s="6"/>
      <c r="H38" s="33"/>
    </row>
    <row r="39" spans="1:11" s="13" customFormat="1" x14ac:dyDescent="0.35">
      <c r="A39" s="12">
        <v>35</v>
      </c>
      <c r="B39" s="18"/>
      <c r="C39" s="14"/>
      <c r="D39" s="14"/>
      <c r="E39" s="6"/>
      <c r="F39" s="6"/>
      <c r="G39" s="6"/>
      <c r="H39" s="33"/>
    </row>
    <row r="40" spans="1:11" s="13" customFormat="1" x14ac:dyDescent="0.35">
      <c r="A40" s="12">
        <v>36</v>
      </c>
      <c r="B40" s="18"/>
      <c r="C40" s="14"/>
      <c r="D40" s="14"/>
      <c r="E40" s="6"/>
      <c r="F40" s="6"/>
      <c r="G40" s="6"/>
      <c r="H40" s="33"/>
    </row>
    <row r="41" spans="1:11" s="13" customFormat="1" x14ac:dyDescent="0.35">
      <c r="A41" s="12">
        <v>37</v>
      </c>
      <c r="B41" s="18"/>
      <c r="C41" s="14"/>
      <c r="D41" s="14"/>
      <c r="E41" s="6"/>
      <c r="F41" s="6"/>
      <c r="G41" s="6"/>
      <c r="H41" s="33"/>
    </row>
    <row r="42" spans="1:11" s="13" customFormat="1" x14ac:dyDescent="0.35">
      <c r="A42" s="12">
        <v>38</v>
      </c>
      <c r="B42" s="18"/>
      <c r="C42" s="14"/>
      <c r="D42" s="14"/>
      <c r="E42" s="6"/>
      <c r="F42" s="6"/>
      <c r="G42" s="6"/>
      <c r="H42" s="33"/>
    </row>
    <row r="43" spans="1:11" s="13" customFormat="1" x14ac:dyDescent="0.35">
      <c r="A43" s="12">
        <v>39</v>
      </c>
      <c r="B43" s="18"/>
      <c r="C43" s="14"/>
      <c r="D43" s="14"/>
      <c r="E43" s="6"/>
      <c r="F43" s="6"/>
      <c r="G43" s="6"/>
      <c r="H43" s="34"/>
    </row>
    <row r="44" spans="1:11" s="13" customFormat="1" x14ac:dyDescent="0.35">
      <c r="A44" s="12">
        <v>40</v>
      </c>
      <c r="B44" s="15"/>
      <c r="C44" s="14"/>
      <c r="D44" s="14"/>
      <c r="E44" s="6"/>
      <c r="F44" s="6"/>
      <c r="G44" s="6"/>
      <c r="I44" s="16">
        <f>SUM(E7:E44)</f>
        <v>0</v>
      </c>
      <c r="J44" s="13">
        <f>1782500</f>
        <v>1782500</v>
      </c>
      <c r="K44" s="16">
        <f>I44-J44</f>
        <v>-1782500</v>
      </c>
    </row>
    <row r="45" spans="1:11" x14ac:dyDescent="0.35">
      <c r="A45" s="28" t="s">
        <v>5</v>
      </c>
      <c r="B45" s="29"/>
      <c r="C45" s="30"/>
      <c r="D45" s="3"/>
      <c r="E45" s="4">
        <f>SUM(E6:E44)</f>
        <v>0</v>
      </c>
      <c r="F45" s="4">
        <f>SUM(F6:F44)</f>
        <v>0</v>
      </c>
      <c r="G45" s="4">
        <f>F45-E45</f>
        <v>0</v>
      </c>
      <c r="H45" s="1"/>
    </row>
    <row r="46" spans="1:11" x14ac:dyDescent="0.35">
      <c r="A46" s="28" t="s">
        <v>6</v>
      </c>
      <c r="B46" s="29"/>
      <c r="C46" s="30"/>
      <c r="D46" s="3"/>
      <c r="E46" s="4">
        <f>E5+E45</f>
        <v>8208000</v>
      </c>
      <c r="F46" s="4">
        <f t="shared" ref="F46:G46" si="0">F5+F45</f>
        <v>11453570</v>
      </c>
      <c r="G46" s="4">
        <f t="shared" si="0"/>
        <v>3245570</v>
      </c>
      <c r="H46" s="1"/>
    </row>
    <row r="47" spans="1:11" x14ac:dyDescent="0.35">
      <c r="A47" s="28" t="s">
        <v>7</v>
      </c>
      <c r="B47" s="29"/>
      <c r="C47" s="30"/>
      <c r="D47" s="3"/>
      <c r="E47" s="4">
        <f t="shared" ref="E47:G47" si="1">E46</f>
        <v>8208000</v>
      </c>
      <c r="F47" s="4">
        <f t="shared" si="1"/>
        <v>11453570</v>
      </c>
      <c r="G47" s="4">
        <f t="shared" si="1"/>
        <v>3245570</v>
      </c>
      <c r="H47" s="1"/>
      <c r="I47" s="5">
        <f>2477500-1782500</f>
        <v>695000</v>
      </c>
    </row>
    <row r="49" spans="6:8" x14ac:dyDescent="0.35">
      <c r="F49" s="27" t="s">
        <v>34</v>
      </c>
      <c r="G49" s="27"/>
      <c r="H49" s="27"/>
    </row>
    <row r="50" spans="6:8" x14ac:dyDescent="0.35">
      <c r="F50" s="27" t="s">
        <v>13</v>
      </c>
      <c r="G50" s="27"/>
      <c r="H50" s="27"/>
    </row>
  </sheetData>
  <mergeCells count="9">
    <mergeCell ref="A47:C47"/>
    <mergeCell ref="F49:H49"/>
    <mergeCell ref="F50:H50"/>
    <mergeCell ref="A1:H1"/>
    <mergeCell ref="A2:H2"/>
    <mergeCell ref="A3:H3"/>
    <mergeCell ref="H36:H43"/>
    <mergeCell ref="A45:C45"/>
    <mergeCell ref="A46:C46"/>
  </mergeCells>
  <pageMargins left="0.75" right="0.75" top="1" bottom="1" header="0.5" footer="0.5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BCA53-A248-4742-86B5-D59FD91837C0}">
  <sheetPr>
    <tabColor rgb="FFFFC000"/>
  </sheetPr>
  <dimension ref="A1:K50"/>
  <sheetViews>
    <sheetView zoomScale="129" workbookViewId="0">
      <selection activeCell="E5" sqref="E5"/>
    </sheetView>
  </sheetViews>
  <sheetFormatPr defaultRowHeight="14.5" x14ac:dyDescent="0.35"/>
  <cols>
    <col min="1" max="1" width="5" customWidth="1"/>
    <col min="2" max="2" width="13.54296875" customWidth="1"/>
    <col min="3" max="3" width="42.7265625" customWidth="1"/>
    <col min="4" max="4" width="7" customWidth="1"/>
    <col min="5" max="5" width="16.6328125" customWidth="1"/>
    <col min="6" max="6" width="16.54296875" customWidth="1"/>
    <col min="7" max="7" width="16.6328125" customWidth="1"/>
    <col min="8" max="8" width="11.6328125" customWidth="1"/>
    <col min="9" max="9" width="14.90625" bestFit="1" customWidth="1"/>
    <col min="11" max="11" width="12.26953125" bestFit="1" customWidth="1"/>
  </cols>
  <sheetData>
    <row r="1" spans="1:9" ht="15.5" x14ac:dyDescent="0.35">
      <c r="A1" s="31" t="s">
        <v>12</v>
      </c>
      <c r="B1" s="31"/>
      <c r="C1" s="31"/>
      <c r="D1" s="31"/>
      <c r="E1" s="31"/>
      <c r="F1" s="31"/>
      <c r="G1" s="31"/>
      <c r="H1" s="31"/>
    </row>
    <row r="2" spans="1:9" ht="15.5" x14ac:dyDescent="0.35">
      <c r="A2" s="31" t="s">
        <v>8</v>
      </c>
      <c r="B2" s="31"/>
      <c r="C2" s="31"/>
      <c r="D2" s="31"/>
      <c r="E2" s="31"/>
      <c r="F2" s="31"/>
      <c r="G2" s="31"/>
      <c r="H2" s="31"/>
    </row>
    <row r="3" spans="1:9" ht="15.5" x14ac:dyDescent="0.35">
      <c r="A3" s="31" t="s">
        <v>36</v>
      </c>
      <c r="B3" s="31"/>
      <c r="C3" s="31"/>
      <c r="D3" s="31"/>
      <c r="E3" s="31"/>
      <c r="F3" s="31"/>
      <c r="G3" s="31"/>
      <c r="H3" s="31"/>
    </row>
    <row r="4" spans="1:9" ht="15.5" x14ac:dyDescent="0.35">
      <c r="A4" s="2" t="s">
        <v>0</v>
      </c>
      <c r="B4" s="2" t="s">
        <v>1</v>
      </c>
      <c r="C4" s="2" t="s">
        <v>2</v>
      </c>
      <c r="D4" s="2" t="s">
        <v>11</v>
      </c>
      <c r="E4" s="2" t="s">
        <v>9</v>
      </c>
      <c r="F4" s="2" t="s">
        <v>10</v>
      </c>
      <c r="G4" s="2" t="s">
        <v>3</v>
      </c>
      <c r="H4" s="2" t="s">
        <v>4</v>
      </c>
    </row>
    <row r="5" spans="1:9" s="11" customFormat="1" x14ac:dyDescent="0.35">
      <c r="A5" s="7">
        <v>1</v>
      </c>
      <c r="B5" s="20">
        <v>46266</v>
      </c>
      <c r="C5" s="21" t="s">
        <v>14</v>
      </c>
      <c r="D5" s="22"/>
      <c r="E5" s="23">
        <f>Agustus!E47</f>
        <v>8208000</v>
      </c>
      <c r="F5" s="23">
        <f>Agustus!F47</f>
        <v>11453570</v>
      </c>
      <c r="G5" s="23">
        <f>Agustus!G47</f>
        <v>3245570</v>
      </c>
      <c r="H5" s="24"/>
      <c r="I5" s="17">
        <f>G5*5%</f>
        <v>162278.5</v>
      </c>
    </row>
    <row r="6" spans="1:9" s="13" customFormat="1" x14ac:dyDescent="0.35">
      <c r="A6" s="12">
        <v>2</v>
      </c>
      <c r="B6" s="19"/>
      <c r="C6" s="8"/>
      <c r="D6" s="9"/>
      <c r="E6" s="10"/>
      <c r="F6" s="10"/>
      <c r="G6" s="10"/>
      <c r="H6" s="9"/>
    </row>
    <row r="7" spans="1:9" s="13" customFormat="1" x14ac:dyDescent="0.35">
      <c r="A7" s="12">
        <v>3</v>
      </c>
      <c r="B7" s="18"/>
      <c r="C7" s="14"/>
      <c r="D7" s="14"/>
      <c r="E7" s="6"/>
      <c r="F7" s="6"/>
      <c r="G7" s="6"/>
      <c r="H7" s="14"/>
    </row>
    <row r="8" spans="1:9" s="13" customFormat="1" x14ac:dyDescent="0.35">
      <c r="A8" s="12">
        <v>4</v>
      </c>
      <c r="B8" s="18"/>
      <c r="C8" s="14"/>
      <c r="D8" s="14"/>
      <c r="E8" s="6"/>
      <c r="F8" s="6"/>
      <c r="G8" s="6"/>
      <c r="H8" s="14"/>
    </row>
    <row r="9" spans="1:9" s="13" customFormat="1" x14ac:dyDescent="0.35">
      <c r="A9" s="12">
        <v>5</v>
      </c>
      <c r="B9" s="18"/>
      <c r="C9" s="14"/>
      <c r="D9" s="14"/>
      <c r="E9" s="6"/>
      <c r="F9" s="6"/>
      <c r="G9" s="6"/>
      <c r="H9" s="14"/>
    </row>
    <row r="10" spans="1:9" s="13" customFormat="1" x14ac:dyDescent="0.35">
      <c r="A10" s="12">
        <v>6</v>
      </c>
      <c r="B10" s="18"/>
      <c r="C10" s="14"/>
      <c r="D10" s="14"/>
      <c r="E10" s="6"/>
      <c r="F10" s="6"/>
      <c r="G10" s="6"/>
      <c r="H10" s="14"/>
    </row>
    <row r="11" spans="1:9" s="13" customFormat="1" x14ac:dyDescent="0.35">
      <c r="A11" s="12">
        <v>7</v>
      </c>
      <c r="B11" s="18"/>
      <c r="C11" s="14"/>
      <c r="D11" s="14"/>
      <c r="E11" s="6"/>
      <c r="F11" s="6"/>
      <c r="G11" s="6"/>
      <c r="H11" s="14"/>
    </row>
    <row r="12" spans="1:9" s="13" customFormat="1" x14ac:dyDescent="0.35">
      <c r="A12" s="12">
        <v>8</v>
      </c>
      <c r="B12" s="18"/>
      <c r="C12" s="14"/>
      <c r="D12" s="14"/>
      <c r="E12" s="6"/>
      <c r="F12" s="6"/>
      <c r="G12" s="6"/>
      <c r="H12" s="14"/>
    </row>
    <row r="13" spans="1:9" s="13" customFormat="1" x14ac:dyDescent="0.35">
      <c r="A13" s="12">
        <v>9</v>
      </c>
      <c r="B13" s="18"/>
      <c r="C13" s="14"/>
      <c r="D13" s="14"/>
      <c r="E13" s="6"/>
      <c r="F13" s="6"/>
      <c r="G13" s="6"/>
      <c r="H13" s="14"/>
    </row>
    <row r="14" spans="1:9" s="13" customFormat="1" x14ac:dyDescent="0.35">
      <c r="A14" s="12">
        <v>10</v>
      </c>
      <c r="B14" s="18"/>
      <c r="C14" s="14"/>
      <c r="D14" s="14"/>
      <c r="E14" s="6"/>
      <c r="F14" s="6"/>
      <c r="G14" s="6"/>
      <c r="H14" s="14"/>
    </row>
    <row r="15" spans="1:9" s="13" customFormat="1" x14ac:dyDescent="0.35">
      <c r="A15" s="12">
        <v>11</v>
      </c>
      <c r="B15" s="18"/>
      <c r="C15" s="14"/>
      <c r="D15" s="14"/>
      <c r="E15" s="6"/>
      <c r="F15" s="6"/>
      <c r="G15" s="6"/>
      <c r="H15" s="14"/>
    </row>
    <row r="16" spans="1:9" s="13" customFormat="1" x14ac:dyDescent="0.35">
      <c r="A16" s="12">
        <v>12</v>
      </c>
      <c r="B16" s="18"/>
      <c r="C16" s="14"/>
      <c r="D16" s="14"/>
      <c r="E16" s="6"/>
      <c r="F16" s="6"/>
      <c r="G16" s="6"/>
      <c r="H16" s="14"/>
    </row>
    <row r="17" spans="1:8" s="13" customFormat="1" x14ac:dyDescent="0.35">
      <c r="A17" s="12">
        <v>13</v>
      </c>
      <c r="B17" s="18"/>
      <c r="C17" s="14"/>
      <c r="D17" s="14"/>
      <c r="E17" s="6"/>
      <c r="F17" s="6"/>
      <c r="G17" s="6"/>
      <c r="H17" s="14"/>
    </row>
    <row r="18" spans="1:8" s="13" customFormat="1" x14ac:dyDescent="0.35">
      <c r="A18" s="12">
        <v>14</v>
      </c>
      <c r="B18" s="18"/>
      <c r="C18" s="14"/>
      <c r="D18" s="14"/>
      <c r="E18" s="6"/>
      <c r="F18" s="6"/>
      <c r="G18" s="6"/>
      <c r="H18" s="14"/>
    </row>
    <row r="19" spans="1:8" s="13" customFormat="1" x14ac:dyDescent="0.35">
      <c r="A19" s="12">
        <v>15</v>
      </c>
      <c r="B19" s="18"/>
      <c r="C19" s="14"/>
      <c r="D19" s="14"/>
      <c r="E19" s="6"/>
      <c r="F19" s="6"/>
      <c r="G19" s="6"/>
      <c r="H19" s="14"/>
    </row>
    <row r="20" spans="1:8" s="13" customFormat="1" x14ac:dyDescent="0.35">
      <c r="A20" s="12">
        <v>16</v>
      </c>
      <c r="B20" s="18"/>
      <c r="C20" s="14"/>
      <c r="D20" s="14"/>
      <c r="E20" s="6"/>
      <c r="F20" s="6"/>
      <c r="G20" s="6"/>
      <c r="H20" s="14"/>
    </row>
    <row r="21" spans="1:8" s="13" customFormat="1" x14ac:dyDescent="0.35">
      <c r="A21" s="12">
        <v>17</v>
      </c>
      <c r="B21" s="18"/>
      <c r="C21" s="14"/>
      <c r="D21" s="14"/>
      <c r="E21" s="6"/>
      <c r="F21" s="6"/>
      <c r="G21" s="6"/>
      <c r="H21" s="14"/>
    </row>
    <row r="22" spans="1:8" s="13" customFormat="1" x14ac:dyDescent="0.35">
      <c r="A22" s="12">
        <v>18</v>
      </c>
      <c r="B22" s="18"/>
      <c r="C22" s="14"/>
      <c r="D22" s="14"/>
      <c r="E22" s="6"/>
      <c r="F22" s="6"/>
      <c r="G22" s="6"/>
      <c r="H22" s="14"/>
    </row>
    <row r="23" spans="1:8" s="13" customFormat="1" x14ac:dyDescent="0.35">
      <c r="A23" s="12">
        <v>19</v>
      </c>
      <c r="B23" s="18"/>
      <c r="C23" s="14"/>
      <c r="D23" s="14"/>
      <c r="E23" s="6"/>
      <c r="F23" s="6"/>
      <c r="G23" s="6"/>
      <c r="H23" s="14"/>
    </row>
    <row r="24" spans="1:8" s="13" customFormat="1" x14ac:dyDescent="0.35">
      <c r="A24" s="12">
        <v>20</v>
      </c>
      <c r="B24" s="18"/>
      <c r="C24" s="14"/>
      <c r="D24" s="14"/>
      <c r="E24" s="6"/>
      <c r="F24" s="6"/>
      <c r="G24" s="6"/>
      <c r="H24" s="14"/>
    </row>
    <row r="25" spans="1:8" s="13" customFormat="1" x14ac:dyDescent="0.35">
      <c r="A25" s="12">
        <v>21</v>
      </c>
      <c r="B25" s="18"/>
      <c r="C25" s="14"/>
      <c r="D25" s="14"/>
      <c r="E25" s="6"/>
      <c r="F25" s="6"/>
      <c r="G25" s="6"/>
      <c r="H25" s="14"/>
    </row>
    <row r="26" spans="1:8" s="13" customFormat="1" x14ac:dyDescent="0.35">
      <c r="A26" s="12">
        <v>22</v>
      </c>
      <c r="B26" s="18"/>
      <c r="C26" s="14"/>
      <c r="D26" s="14"/>
      <c r="E26" s="6"/>
      <c r="F26" s="6"/>
      <c r="G26" s="6"/>
      <c r="H26" s="14"/>
    </row>
    <row r="27" spans="1:8" s="13" customFormat="1" x14ac:dyDescent="0.35">
      <c r="A27" s="12">
        <v>23</v>
      </c>
      <c r="B27" s="18"/>
      <c r="C27" s="14"/>
      <c r="D27" s="14"/>
      <c r="E27" s="6"/>
      <c r="F27" s="6"/>
      <c r="G27" s="6"/>
      <c r="H27" s="14"/>
    </row>
    <row r="28" spans="1:8" s="13" customFormat="1" x14ac:dyDescent="0.35">
      <c r="A28" s="12">
        <v>24</v>
      </c>
      <c r="B28" s="18"/>
      <c r="C28" s="14"/>
      <c r="D28" s="14"/>
      <c r="E28" s="6"/>
      <c r="F28" s="6"/>
      <c r="G28" s="6"/>
      <c r="H28" s="14"/>
    </row>
    <row r="29" spans="1:8" s="13" customFormat="1" x14ac:dyDescent="0.35">
      <c r="A29" s="12">
        <v>25</v>
      </c>
      <c r="B29" s="18"/>
      <c r="C29" s="14"/>
      <c r="D29" s="14"/>
      <c r="E29" s="6"/>
      <c r="F29" s="6"/>
      <c r="G29" s="6"/>
      <c r="H29" s="14"/>
    </row>
    <row r="30" spans="1:8" s="13" customFormat="1" x14ac:dyDescent="0.35">
      <c r="A30" s="12">
        <v>26</v>
      </c>
      <c r="B30" s="18"/>
      <c r="C30" s="14"/>
      <c r="D30" s="14"/>
      <c r="E30" s="6"/>
      <c r="F30" s="6"/>
      <c r="G30" s="6"/>
      <c r="H30" s="14"/>
    </row>
    <row r="31" spans="1:8" s="13" customFormat="1" x14ac:dyDescent="0.35">
      <c r="A31" s="12">
        <v>27</v>
      </c>
      <c r="B31" s="18"/>
      <c r="C31" s="14"/>
      <c r="D31" s="14"/>
      <c r="E31" s="6"/>
      <c r="F31" s="6"/>
      <c r="G31" s="6"/>
      <c r="H31" s="14"/>
    </row>
    <row r="32" spans="1:8" s="13" customFormat="1" x14ac:dyDescent="0.35">
      <c r="A32" s="12">
        <v>28</v>
      </c>
      <c r="B32" s="18"/>
      <c r="C32" s="14"/>
      <c r="D32" s="14"/>
      <c r="E32" s="6"/>
      <c r="F32" s="6"/>
      <c r="G32" s="6"/>
      <c r="H32" s="14"/>
    </row>
    <row r="33" spans="1:11" s="13" customFormat="1" x14ac:dyDescent="0.35">
      <c r="A33" s="12">
        <v>29</v>
      </c>
      <c r="B33" s="18"/>
      <c r="C33" s="14"/>
      <c r="D33" s="14"/>
      <c r="E33" s="6"/>
      <c r="F33" s="6"/>
      <c r="G33" s="6"/>
      <c r="H33" s="14"/>
    </row>
    <row r="34" spans="1:11" s="13" customFormat="1" x14ac:dyDescent="0.35">
      <c r="A34" s="12">
        <v>30</v>
      </c>
      <c r="B34" s="18"/>
      <c r="C34" s="14"/>
      <c r="D34" s="14"/>
      <c r="E34" s="6"/>
      <c r="F34" s="6"/>
      <c r="G34" s="6"/>
      <c r="H34" s="14"/>
    </row>
    <row r="35" spans="1:11" s="13" customFormat="1" x14ac:dyDescent="0.35">
      <c r="A35" s="12">
        <v>31</v>
      </c>
      <c r="B35" s="18"/>
      <c r="C35" s="14"/>
      <c r="D35" s="14"/>
      <c r="E35" s="6"/>
      <c r="F35" s="6"/>
      <c r="G35" s="6"/>
      <c r="H35" s="14"/>
    </row>
    <row r="36" spans="1:11" s="13" customFormat="1" x14ac:dyDescent="0.35">
      <c r="A36" s="12">
        <v>32</v>
      </c>
      <c r="B36" s="18"/>
      <c r="C36" s="14"/>
      <c r="D36" s="14"/>
      <c r="E36" s="6"/>
      <c r="F36" s="6"/>
      <c r="G36" s="6"/>
      <c r="H36" s="32"/>
    </row>
    <row r="37" spans="1:11" s="13" customFormat="1" x14ac:dyDescent="0.35">
      <c r="A37" s="12">
        <v>33</v>
      </c>
      <c r="B37" s="18"/>
      <c r="C37" s="14"/>
      <c r="D37" s="14"/>
      <c r="E37" s="6"/>
      <c r="F37" s="6"/>
      <c r="G37" s="6"/>
      <c r="H37" s="33"/>
    </row>
    <row r="38" spans="1:11" s="13" customFormat="1" x14ac:dyDescent="0.35">
      <c r="A38" s="12">
        <v>34</v>
      </c>
      <c r="B38" s="18"/>
      <c r="C38" s="14"/>
      <c r="D38" s="14"/>
      <c r="E38" s="6"/>
      <c r="F38" s="6"/>
      <c r="G38" s="6"/>
      <c r="H38" s="33"/>
    </row>
    <row r="39" spans="1:11" s="13" customFormat="1" x14ac:dyDescent="0.35">
      <c r="A39" s="12">
        <v>35</v>
      </c>
      <c r="B39" s="18"/>
      <c r="C39" s="14"/>
      <c r="D39" s="14"/>
      <c r="E39" s="6"/>
      <c r="F39" s="6"/>
      <c r="G39" s="6"/>
      <c r="H39" s="33"/>
    </row>
    <row r="40" spans="1:11" s="13" customFormat="1" x14ac:dyDescent="0.35">
      <c r="A40" s="12">
        <v>36</v>
      </c>
      <c r="B40" s="18"/>
      <c r="C40" s="14"/>
      <c r="D40" s="14"/>
      <c r="E40" s="6"/>
      <c r="F40" s="6"/>
      <c r="G40" s="6"/>
      <c r="H40" s="33"/>
    </row>
    <row r="41" spans="1:11" s="13" customFormat="1" x14ac:dyDescent="0.35">
      <c r="A41" s="12">
        <v>37</v>
      </c>
      <c r="B41" s="18"/>
      <c r="C41" s="14"/>
      <c r="D41" s="14"/>
      <c r="E41" s="6"/>
      <c r="F41" s="6"/>
      <c r="G41" s="6"/>
      <c r="H41" s="33"/>
    </row>
    <row r="42" spans="1:11" s="13" customFormat="1" x14ac:dyDescent="0.35">
      <c r="A42" s="12">
        <v>38</v>
      </c>
      <c r="B42" s="18"/>
      <c r="C42" s="14"/>
      <c r="D42" s="14"/>
      <c r="E42" s="6"/>
      <c r="F42" s="6"/>
      <c r="G42" s="6"/>
      <c r="H42" s="33"/>
    </row>
    <row r="43" spans="1:11" s="13" customFormat="1" x14ac:dyDescent="0.35">
      <c r="A43" s="12">
        <v>39</v>
      </c>
      <c r="B43" s="18"/>
      <c r="C43" s="14"/>
      <c r="D43" s="14"/>
      <c r="E43" s="6"/>
      <c r="F43" s="6"/>
      <c r="G43" s="6"/>
      <c r="H43" s="34"/>
    </row>
    <row r="44" spans="1:11" s="13" customFormat="1" x14ac:dyDescent="0.35">
      <c r="A44" s="12">
        <v>40</v>
      </c>
      <c r="B44" s="15"/>
      <c r="C44" s="14"/>
      <c r="D44" s="14"/>
      <c r="E44" s="6"/>
      <c r="F44" s="6"/>
      <c r="G44" s="6"/>
      <c r="I44" s="16">
        <f>SUM(E7:E44)</f>
        <v>0</v>
      </c>
      <c r="J44" s="13">
        <f>1782500</f>
        <v>1782500</v>
      </c>
      <c r="K44" s="16">
        <f>I44-J44</f>
        <v>-1782500</v>
      </c>
    </row>
    <row r="45" spans="1:11" x14ac:dyDescent="0.35">
      <c r="A45" s="28" t="s">
        <v>5</v>
      </c>
      <c r="B45" s="29"/>
      <c r="C45" s="30"/>
      <c r="D45" s="3"/>
      <c r="E45" s="4">
        <f>SUM(E6:E44)</f>
        <v>0</v>
      </c>
      <c r="F45" s="4">
        <f>SUM(F6:F44)</f>
        <v>0</v>
      </c>
      <c r="G45" s="4">
        <f>F45-E45</f>
        <v>0</v>
      </c>
      <c r="H45" s="1"/>
    </row>
    <row r="46" spans="1:11" x14ac:dyDescent="0.35">
      <c r="A46" s="28" t="s">
        <v>6</v>
      </c>
      <c r="B46" s="29"/>
      <c r="C46" s="30"/>
      <c r="D46" s="3"/>
      <c r="E46" s="4">
        <f>E5+E45</f>
        <v>8208000</v>
      </c>
      <c r="F46" s="4">
        <f t="shared" ref="F46:G46" si="0">F5+F45</f>
        <v>11453570</v>
      </c>
      <c r="G46" s="4">
        <f t="shared" si="0"/>
        <v>3245570</v>
      </c>
      <c r="H46" s="1"/>
    </row>
    <row r="47" spans="1:11" x14ac:dyDescent="0.35">
      <c r="A47" s="28" t="s">
        <v>7</v>
      </c>
      <c r="B47" s="29"/>
      <c r="C47" s="30"/>
      <c r="D47" s="3"/>
      <c r="E47" s="4">
        <f t="shared" ref="E47:G47" si="1">E46</f>
        <v>8208000</v>
      </c>
      <c r="F47" s="4">
        <f t="shared" si="1"/>
        <v>11453570</v>
      </c>
      <c r="G47" s="4">
        <f t="shared" si="1"/>
        <v>3245570</v>
      </c>
      <c r="H47" s="1"/>
      <c r="I47" s="5">
        <f>2477500-1782500</f>
        <v>695000</v>
      </c>
    </row>
    <row r="49" spans="6:8" x14ac:dyDescent="0.35">
      <c r="F49" s="27" t="s">
        <v>35</v>
      </c>
      <c r="G49" s="27"/>
      <c r="H49" s="27"/>
    </row>
    <row r="50" spans="6:8" x14ac:dyDescent="0.35">
      <c r="F50" s="27" t="s">
        <v>13</v>
      </c>
      <c r="G50" s="27"/>
      <c r="H50" s="27"/>
    </row>
  </sheetData>
  <mergeCells count="9">
    <mergeCell ref="A47:C47"/>
    <mergeCell ref="F49:H49"/>
    <mergeCell ref="F50:H50"/>
    <mergeCell ref="A1:H1"/>
    <mergeCell ref="A2:H2"/>
    <mergeCell ref="A3:H3"/>
    <mergeCell ref="H36:H43"/>
    <mergeCell ref="A45:C45"/>
    <mergeCell ref="A46:C46"/>
  </mergeCells>
  <pageMargins left="0.75" right="0.75" top="1" bottom="1" header="0.5" footer="0.5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0E019-6B64-4D60-B989-88240C1DD999}">
  <sheetPr>
    <tabColor rgb="FF92D050"/>
  </sheetPr>
  <dimension ref="A1:K50"/>
  <sheetViews>
    <sheetView topLeftCell="A34" zoomScale="129" workbookViewId="0">
      <selection activeCell="D50" sqref="D50"/>
    </sheetView>
  </sheetViews>
  <sheetFormatPr defaultRowHeight="14.5" x14ac:dyDescent="0.35"/>
  <cols>
    <col min="1" max="1" width="5" customWidth="1"/>
    <col min="2" max="2" width="13.54296875" customWidth="1"/>
    <col min="3" max="3" width="42.7265625" customWidth="1"/>
    <col min="4" max="4" width="7" customWidth="1"/>
    <col min="5" max="5" width="16.6328125" customWidth="1"/>
    <col min="6" max="6" width="16.54296875" customWidth="1"/>
    <col min="7" max="7" width="16.6328125" customWidth="1"/>
    <col min="8" max="8" width="11.6328125" customWidth="1"/>
    <col min="9" max="9" width="14.90625" bestFit="1" customWidth="1"/>
    <col min="11" max="11" width="12.26953125" bestFit="1" customWidth="1"/>
  </cols>
  <sheetData>
    <row r="1" spans="1:9" ht="15.5" x14ac:dyDescent="0.35">
      <c r="A1" s="31" t="s">
        <v>12</v>
      </c>
      <c r="B1" s="31"/>
      <c r="C1" s="31"/>
      <c r="D1" s="31"/>
      <c r="E1" s="31"/>
      <c r="F1" s="31"/>
      <c r="G1" s="31"/>
      <c r="H1" s="31"/>
    </row>
    <row r="2" spans="1:9" ht="15.5" x14ac:dyDescent="0.35">
      <c r="A2" s="31" t="s">
        <v>8</v>
      </c>
      <c r="B2" s="31"/>
      <c r="C2" s="31"/>
      <c r="D2" s="31"/>
      <c r="E2" s="31"/>
      <c r="F2" s="31"/>
      <c r="G2" s="31"/>
      <c r="H2" s="31"/>
    </row>
    <row r="3" spans="1:9" ht="15.5" x14ac:dyDescent="0.35">
      <c r="A3" s="31" t="s">
        <v>37</v>
      </c>
      <c r="B3" s="31"/>
      <c r="C3" s="31"/>
      <c r="D3" s="31"/>
      <c r="E3" s="31"/>
      <c r="F3" s="31"/>
      <c r="G3" s="31"/>
      <c r="H3" s="31"/>
    </row>
    <row r="4" spans="1:9" ht="15.5" x14ac:dyDescent="0.35">
      <c r="A4" s="2" t="s">
        <v>0</v>
      </c>
      <c r="B4" s="2" t="s">
        <v>1</v>
      </c>
      <c r="C4" s="2" t="s">
        <v>2</v>
      </c>
      <c r="D4" s="2" t="s">
        <v>11</v>
      </c>
      <c r="E4" s="2" t="s">
        <v>9</v>
      </c>
      <c r="F4" s="2" t="s">
        <v>10</v>
      </c>
      <c r="G4" s="2" t="s">
        <v>3</v>
      </c>
      <c r="H4" s="2" t="s">
        <v>4</v>
      </c>
    </row>
    <row r="5" spans="1:9" s="11" customFormat="1" x14ac:dyDescent="0.35">
      <c r="A5" s="7">
        <v>1</v>
      </c>
      <c r="B5" s="20">
        <v>46296</v>
      </c>
      <c r="C5" s="21" t="s">
        <v>14</v>
      </c>
      <c r="D5" s="22"/>
      <c r="E5" s="23">
        <f>September!E47</f>
        <v>8208000</v>
      </c>
      <c r="F5" s="23">
        <f>September!F47</f>
        <v>11453570</v>
      </c>
      <c r="G5" s="23">
        <f>September!G47</f>
        <v>3245570</v>
      </c>
      <c r="H5" s="24"/>
      <c r="I5" s="17">
        <f>G5*5%</f>
        <v>162278.5</v>
      </c>
    </row>
    <row r="6" spans="1:9" s="13" customFormat="1" x14ac:dyDescent="0.35">
      <c r="A6" s="12">
        <v>2</v>
      </c>
      <c r="B6" s="19"/>
      <c r="C6" s="8"/>
      <c r="D6" s="9"/>
      <c r="E6" s="10"/>
      <c r="F6" s="10"/>
      <c r="G6" s="10"/>
      <c r="H6" s="9"/>
    </row>
    <row r="7" spans="1:9" s="13" customFormat="1" x14ac:dyDescent="0.35">
      <c r="A7" s="12">
        <v>3</v>
      </c>
      <c r="B7" s="18"/>
      <c r="C7" s="14"/>
      <c r="D7" s="14"/>
      <c r="E7" s="6"/>
      <c r="F7" s="6"/>
      <c r="G7" s="6"/>
      <c r="H7" s="14"/>
    </row>
    <row r="8" spans="1:9" s="13" customFormat="1" x14ac:dyDescent="0.35">
      <c r="A8" s="12">
        <v>4</v>
      </c>
      <c r="B8" s="18"/>
      <c r="C8" s="14"/>
      <c r="D8" s="14"/>
      <c r="E8" s="6"/>
      <c r="F8" s="6"/>
      <c r="G8" s="6"/>
      <c r="H8" s="14"/>
    </row>
    <row r="9" spans="1:9" s="13" customFormat="1" x14ac:dyDescent="0.35">
      <c r="A9" s="12">
        <v>5</v>
      </c>
      <c r="B9" s="18"/>
      <c r="C9" s="14"/>
      <c r="D9" s="14"/>
      <c r="E9" s="6"/>
      <c r="F9" s="6"/>
      <c r="G9" s="6"/>
      <c r="H9" s="14"/>
    </row>
    <row r="10" spans="1:9" s="13" customFormat="1" x14ac:dyDescent="0.35">
      <c r="A10" s="12">
        <v>6</v>
      </c>
      <c r="B10" s="18"/>
      <c r="C10" s="14"/>
      <c r="D10" s="14"/>
      <c r="E10" s="6"/>
      <c r="F10" s="6"/>
      <c r="G10" s="6"/>
      <c r="H10" s="14"/>
    </row>
    <row r="11" spans="1:9" s="13" customFormat="1" x14ac:dyDescent="0.35">
      <c r="A11" s="12">
        <v>7</v>
      </c>
      <c r="B11" s="18"/>
      <c r="C11" s="14"/>
      <c r="D11" s="14"/>
      <c r="E11" s="6"/>
      <c r="F11" s="6"/>
      <c r="G11" s="6"/>
      <c r="H11" s="14"/>
    </row>
    <row r="12" spans="1:9" s="13" customFormat="1" x14ac:dyDescent="0.35">
      <c r="A12" s="12">
        <v>8</v>
      </c>
      <c r="B12" s="18"/>
      <c r="C12" s="14"/>
      <c r="D12" s="14"/>
      <c r="E12" s="6"/>
      <c r="F12" s="6"/>
      <c r="G12" s="6"/>
      <c r="H12" s="14"/>
    </row>
    <row r="13" spans="1:9" s="13" customFormat="1" x14ac:dyDescent="0.35">
      <c r="A13" s="12">
        <v>9</v>
      </c>
      <c r="B13" s="18"/>
      <c r="C13" s="14"/>
      <c r="D13" s="14"/>
      <c r="E13" s="6"/>
      <c r="F13" s="6"/>
      <c r="G13" s="6"/>
      <c r="H13" s="14"/>
    </row>
    <row r="14" spans="1:9" s="13" customFormat="1" x14ac:dyDescent="0.35">
      <c r="A14" s="12">
        <v>10</v>
      </c>
      <c r="B14" s="18"/>
      <c r="C14" s="14"/>
      <c r="D14" s="14"/>
      <c r="E14" s="6"/>
      <c r="F14" s="6"/>
      <c r="G14" s="6"/>
      <c r="H14" s="14"/>
    </row>
    <row r="15" spans="1:9" s="13" customFormat="1" x14ac:dyDescent="0.35">
      <c r="A15" s="12">
        <v>11</v>
      </c>
      <c r="B15" s="18"/>
      <c r="C15" s="14"/>
      <c r="D15" s="14"/>
      <c r="E15" s="6"/>
      <c r="F15" s="6"/>
      <c r="G15" s="6"/>
      <c r="H15" s="14"/>
    </row>
    <row r="16" spans="1:9" s="13" customFormat="1" x14ac:dyDescent="0.35">
      <c r="A16" s="12">
        <v>12</v>
      </c>
      <c r="B16" s="18"/>
      <c r="C16" s="14"/>
      <c r="D16" s="14"/>
      <c r="E16" s="6"/>
      <c r="F16" s="6"/>
      <c r="G16" s="6"/>
      <c r="H16" s="14"/>
    </row>
    <row r="17" spans="1:8" s="13" customFormat="1" x14ac:dyDescent="0.35">
      <c r="A17" s="12">
        <v>13</v>
      </c>
      <c r="B17" s="18"/>
      <c r="C17" s="14"/>
      <c r="D17" s="14"/>
      <c r="E17" s="6"/>
      <c r="F17" s="6"/>
      <c r="G17" s="6"/>
      <c r="H17" s="14"/>
    </row>
    <row r="18" spans="1:8" s="13" customFormat="1" x14ac:dyDescent="0.35">
      <c r="A18" s="12">
        <v>14</v>
      </c>
      <c r="B18" s="18"/>
      <c r="C18" s="14"/>
      <c r="D18" s="14"/>
      <c r="E18" s="6"/>
      <c r="F18" s="6"/>
      <c r="G18" s="6"/>
      <c r="H18" s="14"/>
    </row>
    <row r="19" spans="1:8" s="13" customFormat="1" x14ac:dyDescent="0.35">
      <c r="A19" s="12">
        <v>15</v>
      </c>
      <c r="B19" s="18"/>
      <c r="C19" s="14"/>
      <c r="D19" s="14"/>
      <c r="E19" s="6"/>
      <c r="F19" s="6"/>
      <c r="G19" s="6"/>
      <c r="H19" s="14"/>
    </row>
    <row r="20" spans="1:8" s="13" customFormat="1" x14ac:dyDescent="0.35">
      <c r="A20" s="12">
        <v>16</v>
      </c>
      <c r="B20" s="18"/>
      <c r="C20" s="14"/>
      <c r="D20" s="14"/>
      <c r="E20" s="6"/>
      <c r="F20" s="6"/>
      <c r="G20" s="6"/>
      <c r="H20" s="14"/>
    </row>
    <row r="21" spans="1:8" s="13" customFormat="1" x14ac:dyDescent="0.35">
      <c r="A21" s="12">
        <v>17</v>
      </c>
      <c r="B21" s="18"/>
      <c r="C21" s="14"/>
      <c r="D21" s="14"/>
      <c r="E21" s="6"/>
      <c r="F21" s="6"/>
      <c r="G21" s="6"/>
      <c r="H21" s="14"/>
    </row>
    <row r="22" spans="1:8" s="13" customFormat="1" x14ac:dyDescent="0.35">
      <c r="A22" s="12">
        <v>18</v>
      </c>
      <c r="B22" s="18"/>
      <c r="C22" s="14"/>
      <c r="D22" s="14"/>
      <c r="E22" s="6"/>
      <c r="F22" s="6"/>
      <c r="G22" s="6"/>
      <c r="H22" s="14"/>
    </row>
    <row r="23" spans="1:8" s="13" customFormat="1" x14ac:dyDescent="0.35">
      <c r="A23" s="12">
        <v>19</v>
      </c>
      <c r="B23" s="18"/>
      <c r="C23" s="14"/>
      <c r="D23" s="14"/>
      <c r="E23" s="6"/>
      <c r="F23" s="6"/>
      <c r="G23" s="6"/>
      <c r="H23" s="14"/>
    </row>
    <row r="24" spans="1:8" s="13" customFormat="1" x14ac:dyDescent="0.35">
      <c r="A24" s="12">
        <v>20</v>
      </c>
      <c r="B24" s="18"/>
      <c r="C24" s="14"/>
      <c r="D24" s="14"/>
      <c r="E24" s="6"/>
      <c r="F24" s="6"/>
      <c r="G24" s="6"/>
      <c r="H24" s="14"/>
    </row>
    <row r="25" spans="1:8" s="13" customFormat="1" x14ac:dyDescent="0.35">
      <c r="A25" s="12">
        <v>21</v>
      </c>
      <c r="B25" s="18"/>
      <c r="C25" s="14"/>
      <c r="D25" s="14"/>
      <c r="E25" s="6"/>
      <c r="F25" s="6"/>
      <c r="G25" s="6"/>
      <c r="H25" s="14"/>
    </row>
    <row r="26" spans="1:8" s="13" customFormat="1" x14ac:dyDescent="0.35">
      <c r="A26" s="12">
        <v>22</v>
      </c>
      <c r="B26" s="18"/>
      <c r="C26" s="14"/>
      <c r="D26" s="14"/>
      <c r="E26" s="6"/>
      <c r="F26" s="6"/>
      <c r="G26" s="6"/>
      <c r="H26" s="14"/>
    </row>
    <row r="27" spans="1:8" s="13" customFormat="1" x14ac:dyDescent="0.35">
      <c r="A27" s="12">
        <v>23</v>
      </c>
      <c r="B27" s="18"/>
      <c r="C27" s="14"/>
      <c r="D27" s="14"/>
      <c r="E27" s="6"/>
      <c r="F27" s="6"/>
      <c r="G27" s="6"/>
      <c r="H27" s="14"/>
    </row>
    <row r="28" spans="1:8" s="13" customFormat="1" x14ac:dyDescent="0.35">
      <c r="A28" s="12">
        <v>24</v>
      </c>
      <c r="B28" s="18"/>
      <c r="C28" s="14"/>
      <c r="D28" s="14"/>
      <c r="E28" s="6"/>
      <c r="F28" s="6"/>
      <c r="G28" s="6"/>
      <c r="H28" s="14"/>
    </row>
    <row r="29" spans="1:8" s="13" customFormat="1" x14ac:dyDescent="0.35">
      <c r="A29" s="12">
        <v>25</v>
      </c>
      <c r="B29" s="18"/>
      <c r="C29" s="14"/>
      <c r="D29" s="14"/>
      <c r="E29" s="6"/>
      <c r="F29" s="6"/>
      <c r="G29" s="6"/>
      <c r="H29" s="14"/>
    </row>
    <row r="30" spans="1:8" s="13" customFormat="1" x14ac:dyDescent="0.35">
      <c r="A30" s="12">
        <v>26</v>
      </c>
      <c r="B30" s="18"/>
      <c r="C30" s="14"/>
      <c r="D30" s="14"/>
      <c r="E30" s="6"/>
      <c r="F30" s="6"/>
      <c r="G30" s="6"/>
      <c r="H30" s="14"/>
    </row>
    <row r="31" spans="1:8" s="13" customFormat="1" x14ac:dyDescent="0.35">
      <c r="A31" s="12">
        <v>27</v>
      </c>
      <c r="B31" s="18"/>
      <c r="C31" s="14"/>
      <c r="D31" s="14"/>
      <c r="E31" s="6"/>
      <c r="F31" s="6"/>
      <c r="G31" s="6"/>
      <c r="H31" s="14"/>
    </row>
    <row r="32" spans="1:8" s="13" customFormat="1" x14ac:dyDescent="0.35">
      <c r="A32" s="12">
        <v>28</v>
      </c>
      <c r="B32" s="18"/>
      <c r="C32" s="14"/>
      <c r="D32" s="14"/>
      <c r="E32" s="6"/>
      <c r="F32" s="6"/>
      <c r="G32" s="6"/>
      <c r="H32" s="14"/>
    </row>
    <row r="33" spans="1:11" s="13" customFormat="1" x14ac:dyDescent="0.35">
      <c r="A33" s="12">
        <v>29</v>
      </c>
      <c r="B33" s="18"/>
      <c r="C33" s="14"/>
      <c r="D33" s="14"/>
      <c r="E33" s="6"/>
      <c r="F33" s="6"/>
      <c r="G33" s="6"/>
      <c r="H33" s="14"/>
    </row>
    <row r="34" spans="1:11" s="13" customFormat="1" x14ac:dyDescent="0.35">
      <c r="A34" s="12">
        <v>30</v>
      </c>
      <c r="B34" s="18"/>
      <c r="C34" s="14"/>
      <c r="D34" s="14"/>
      <c r="E34" s="6"/>
      <c r="F34" s="6"/>
      <c r="G34" s="6"/>
      <c r="H34" s="14"/>
    </row>
    <row r="35" spans="1:11" s="13" customFormat="1" x14ac:dyDescent="0.35">
      <c r="A35" s="12">
        <v>31</v>
      </c>
      <c r="B35" s="18"/>
      <c r="C35" s="14"/>
      <c r="D35" s="14"/>
      <c r="E35" s="6"/>
      <c r="F35" s="6"/>
      <c r="G35" s="6"/>
      <c r="H35" s="14"/>
    </row>
    <row r="36" spans="1:11" s="13" customFormat="1" x14ac:dyDescent="0.35">
      <c r="A36" s="12">
        <v>32</v>
      </c>
      <c r="B36" s="18"/>
      <c r="C36" s="14"/>
      <c r="D36" s="14"/>
      <c r="E36" s="6"/>
      <c r="F36" s="6"/>
      <c r="G36" s="6"/>
      <c r="H36" s="32"/>
    </row>
    <row r="37" spans="1:11" s="13" customFormat="1" x14ac:dyDescent="0.35">
      <c r="A37" s="12">
        <v>33</v>
      </c>
      <c r="B37" s="18"/>
      <c r="C37" s="14"/>
      <c r="D37" s="14"/>
      <c r="E37" s="6"/>
      <c r="F37" s="6"/>
      <c r="G37" s="6"/>
      <c r="H37" s="33"/>
    </row>
    <row r="38" spans="1:11" s="13" customFormat="1" x14ac:dyDescent="0.35">
      <c r="A38" s="12">
        <v>34</v>
      </c>
      <c r="B38" s="18"/>
      <c r="C38" s="14"/>
      <c r="D38" s="14"/>
      <c r="E38" s="6"/>
      <c r="F38" s="6"/>
      <c r="G38" s="6"/>
      <c r="H38" s="33"/>
    </row>
    <row r="39" spans="1:11" s="13" customFormat="1" x14ac:dyDescent="0.35">
      <c r="A39" s="12">
        <v>35</v>
      </c>
      <c r="B39" s="18"/>
      <c r="C39" s="14"/>
      <c r="D39" s="14"/>
      <c r="E39" s="6"/>
      <c r="F39" s="6"/>
      <c r="G39" s="6"/>
      <c r="H39" s="33"/>
    </row>
    <row r="40" spans="1:11" s="13" customFormat="1" x14ac:dyDescent="0.35">
      <c r="A40" s="12">
        <v>36</v>
      </c>
      <c r="B40" s="18"/>
      <c r="C40" s="14"/>
      <c r="D40" s="14"/>
      <c r="E40" s="6"/>
      <c r="F40" s="6"/>
      <c r="G40" s="6"/>
      <c r="H40" s="33"/>
    </row>
    <row r="41" spans="1:11" s="13" customFormat="1" x14ac:dyDescent="0.35">
      <c r="A41" s="12">
        <v>37</v>
      </c>
      <c r="B41" s="18"/>
      <c r="C41" s="14"/>
      <c r="D41" s="14"/>
      <c r="E41" s="6"/>
      <c r="F41" s="6"/>
      <c r="G41" s="6"/>
      <c r="H41" s="33"/>
    </row>
    <row r="42" spans="1:11" s="13" customFormat="1" x14ac:dyDescent="0.35">
      <c r="A42" s="12">
        <v>38</v>
      </c>
      <c r="B42" s="18"/>
      <c r="C42" s="14"/>
      <c r="D42" s="14"/>
      <c r="E42" s="6"/>
      <c r="F42" s="6"/>
      <c r="G42" s="6"/>
      <c r="H42" s="33"/>
    </row>
    <row r="43" spans="1:11" s="13" customFormat="1" x14ac:dyDescent="0.35">
      <c r="A43" s="12">
        <v>39</v>
      </c>
      <c r="B43" s="18"/>
      <c r="C43" s="14"/>
      <c r="D43" s="14"/>
      <c r="E43" s="6"/>
      <c r="F43" s="6"/>
      <c r="G43" s="6"/>
      <c r="H43" s="34"/>
    </row>
    <row r="44" spans="1:11" s="13" customFormat="1" x14ac:dyDescent="0.35">
      <c r="A44" s="12">
        <v>40</v>
      </c>
      <c r="B44" s="15"/>
      <c r="C44" s="14"/>
      <c r="D44" s="14"/>
      <c r="E44" s="6"/>
      <c r="F44" s="6"/>
      <c r="G44" s="6"/>
      <c r="I44" s="16">
        <f>SUM(E7:E44)</f>
        <v>0</v>
      </c>
      <c r="J44" s="13">
        <f>1782500</f>
        <v>1782500</v>
      </c>
      <c r="K44" s="16">
        <f>I44-J44</f>
        <v>-1782500</v>
      </c>
    </row>
    <row r="45" spans="1:11" x14ac:dyDescent="0.35">
      <c r="A45" s="28" t="s">
        <v>5</v>
      </c>
      <c r="B45" s="29"/>
      <c r="C45" s="30"/>
      <c r="D45" s="3"/>
      <c r="E45" s="4">
        <f>SUM(E6:E44)</f>
        <v>0</v>
      </c>
      <c r="F45" s="4">
        <f>SUM(F6:F44)</f>
        <v>0</v>
      </c>
      <c r="G45" s="4">
        <f>F45-E45</f>
        <v>0</v>
      </c>
      <c r="H45" s="1"/>
    </row>
    <row r="46" spans="1:11" x14ac:dyDescent="0.35">
      <c r="A46" s="28" t="s">
        <v>6</v>
      </c>
      <c r="B46" s="29"/>
      <c r="C46" s="30"/>
      <c r="D46" s="3"/>
      <c r="E46" s="4">
        <f>E5+E45</f>
        <v>8208000</v>
      </c>
      <c r="F46" s="4">
        <f t="shared" ref="F46:G46" si="0">F5+F45</f>
        <v>11453570</v>
      </c>
      <c r="G46" s="4">
        <f t="shared" si="0"/>
        <v>3245570</v>
      </c>
      <c r="H46" s="1"/>
    </row>
    <row r="47" spans="1:11" x14ac:dyDescent="0.35">
      <c r="A47" s="28" t="s">
        <v>7</v>
      </c>
      <c r="B47" s="29"/>
      <c r="C47" s="30"/>
      <c r="D47" s="3"/>
      <c r="E47" s="4">
        <f t="shared" ref="E47:G47" si="1">E46</f>
        <v>8208000</v>
      </c>
      <c r="F47" s="4">
        <f t="shared" si="1"/>
        <v>11453570</v>
      </c>
      <c r="G47" s="4">
        <f t="shared" si="1"/>
        <v>3245570</v>
      </c>
      <c r="H47" s="1"/>
      <c r="I47" s="5">
        <f>2477500-1782500</f>
        <v>695000</v>
      </c>
    </row>
    <row r="49" spans="6:8" x14ac:dyDescent="0.35">
      <c r="F49" s="27" t="s">
        <v>40</v>
      </c>
      <c r="G49" s="27"/>
      <c r="H49" s="27"/>
    </row>
    <row r="50" spans="6:8" x14ac:dyDescent="0.35">
      <c r="F50" s="27" t="s">
        <v>13</v>
      </c>
      <c r="G50" s="27"/>
      <c r="H50" s="27"/>
    </row>
  </sheetData>
  <mergeCells count="9">
    <mergeCell ref="A47:C47"/>
    <mergeCell ref="F49:H49"/>
    <mergeCell ref="F50:H50"/>
    <mergeCell ref="A1:H1"/>
    <mergeCell ref="A2:H2"/>
    <mergeCell ref="A3:H3"/>
    <mergeCell ref="H36:H43"/>
    <mergeCell ref="A45:C45"/>
    <mergeCell ref="A46:C46"/>
  </mergeCells>
  <pageMargins left="0.75" right="0.75" top="1" bottom="1" header="0.5" footer="0.5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95815-F7F4-4AC8-B60E-C15CF702878F}">
  <sheetPr>
    <tabColor rgb="FF00B0F0"/>
  </sheetPr>
  <dimension ref="A1:K50"/>
  <sheetViews>
    <sheetView zoomScale="129" workbookViewId="0">
      <selection activeCell="G5" sqref="G5"/>
    </sheetView>
  </sheetViews>
  <sheetFormatPr defaultRowHeight="14.5" x14ac:dyDescent="0.35"/>
  <cols>
    <col min="1" max="1" width="5" customWidth="1"/>
    <col min="2" max="2" width="13.54296875" customWidth="1"/>
    <col min="3" max="3" width="42.7265625" customWidth="1"/>
    <col min="4" max="4" width="7" customWidth="1"/>
    <col min="5" max="5" width="16.6328125" customWidth="1"/>
    <col min="6" max="6" width="16.54296875" customWidth="1"/>
    <col min="7" max="7" width="16.6328125" customWidth="1"/>
    <col min="8" max="8" width="11.6328125" customWidth="1"/>
    <col min="9" max="9" width="14.90625" bestFit="1" customWidth="1"/>
    <col min="11" max="11" width="12.26953125" bestFit="1" customWidth="1"/>
  </cols>
  <sheetData>
    <row r="1" spans="1:9" ht="15.5" x14ac:dyDescent="0.35">
      <c r="A1" s="31" t="s">
        <v>12</v>
      </c>
      <c r="B1" s="31"/>
      <c r="C1" s="31"/>
      <c r="D1" s="31"/>
      <c r="E1" s="31"/>
      <c r="F1" s="31"/>
      <c r="G1" s="31"/>
      <c r="H1" s="31"/>
    </row>
    <row r="2" spans="1:9" ht="15.5" x14ac:dyDescent="0.35">
      <c r="A2" s="31" t="s">
        <v>8</v>
      </c>
      <c r="B2" s="31"/>
      <c r="C2" s="31"/>
      <c r="D2" s="31"/>
      <c r="E2" s="31"/>
      <c r="F2" s="31"/>
      <c r="G2" s="31"/>
      <c r="H2" s="31"/>
    </row>
    <row r="3" spans="1:9" ht="15.5" x14ac:dyDescent="0.35">
      <c r="A3" s="31" t="s">
        <v>38</v>
      </c>
      <c r="B3" s="31"/>
      <c r="C3" s="31"/>
      <c r="D3" s="31"/>
      <c r="E3" s="31"/>
      <c r="F3" s="31"/>
      <c r="G3" s="31"/>
      <c r="H3" s="31"/>
    </row>
    <row r="4" spans="1:9" ht="15.5" x14ac:dyDescent="0.35">
      <c r="A4" s="2" t="s">
        <v>0</v>
      </c>
      <c r="B4" s="2" t="s">
        <v>1</v>
      </c>
      <c r="C4" s="2" t="s">
        <v>2</v>
      </c>
      <c r="D4" s="2" t="s">
        <v>11</v>
      </c>
      <c r="E4" s="2" t="s">
        <v>9</v>
      </c>
      <c r="F4" s="2" t="s">
        <v>10</v>
      </c>
      <c r="G4" s="2" t="s">
        <v>3</v>
      </c>
      <c r="H4" s="2" t="s">
        <v>4</v>
      </c>
    </row>
    <row r="5" spans="1:9" s="11" customFormat="1" x14ac:dyDescent="0.35">
      <c r="A5" s="7">
        <v>1</v>
      </c>
      <c r="B5" s="20">
        <v>46327</v>
      </c>
      <c r="C5" s="21" t="s">
        <v>14</v>
      </c>
      <c r="D5" s="22"/>
      <c r="E5" s="23">
        <f>'Oktober '!E47</f>
        <v>8208000</v>
      </c>
      <c r="F5" s="23">
        <f>'Oktober '!F47</f>
        <v>11453570</v>
      </c>
      <c r="G5" s="23">
        <f>'Oktober '!G47</f>
        <v>3245570</v>
      </c>
      <c r="H5" s="24"/>
      <c r="I5" s="17">
        <f>G5*5%</f>
        <v>162278.5</v>
      </c>
    </row>
    <row r="6" spans="1:9" s="13" customFormat="1" x14ac:dyDescent="0.35">
      <c r="A6" s="12">
        <v>2</v>
      </c>
      <c r="B6" s="19"/>
      <c r="C6" s="8"/>
      <c r="D6" s="9"/>
      <c r="E6" s="10"/>
      <c r="F6" s="10"/>
      <c r="G6" s="10"/>
      <c r="H6" s="9"/>
    </row>
    <row r="7" spans="1:9" s="13" customFormat="1" x14ac:dyDescent="0.35">
      <c r="A7" s="12">
        <v>3</v>
      </c>
      <c r="B7" s="18"/>
      <c r="C7" s="14"/>
      <c r="D7" s="14"/>
      <c r="E7" s="6"/>
      <c r="F7" s="6"/>
      <c r="G7" s="6"/>
      <c r="H7" s="14"/>
    </row>
    <row r="8" spans="1:9" s="13" customFormat="1" x14ac:dyDescent="0.35">
      <c r="A8" s="12">
        <v>4</v>
      </c>
      <c r="B8" s="18"/>
      <c r="C8" s="14"/>
      <c r="D8" s="14"/>
      <c r="E8" s="6"/>
      <c r="F8" s="6"/>
      <c r="G8" s="6"/>
      <c r="H8" s="14"/>
    </row>
    <row r="9" spans="1:9" s="13" customFormat="1" x14ac:dyDescent="0.35">
      <c r="A9" s="12">
        <v>5</v>
      </c>
      <c r="B9" s="18"/>
      <c r="C9" s="14"/>
      <c r="D9" s="14"/>
      <c r="E9" s="6"/>
      <c r="F9" s="6"/>
      <c r="G9" s="6"/>
      <c r="H9" s="14"/>
    </row>
    <row r="10" spans="1:9" s="13" customFormat="1" x14ac:dyDescent="0.35">
      <c r="A10" s="12">
        <v>6</v>
      </c>
      <c r="B10" s="18"/>
      <c r="C10" s="14"/>
      <c r="D10" s="14"/>
      <c r="E10" s="6"/>
      <c r="F10" s="6"/>
      <c r="G10" s="6"/>
      <c r="H10" s="14"/>
    </row>
    <row r="11" spans="1:9" s="13" customFormat="1" x14ac:dyDescent="0.35">
      <c r="A11" s="12">
        <v>7</v>
      </c>
      <c r="B11" s="18"/>
      <c r="C11" s="14"/>
      <c r="D11" s="14"/>
      <c r="E11" s="6"/>
      <c r="F11" s="6"/>
      <c r="G11" s="6"/>
      <c r="H11" s="14"/>
    </row>
    <row r="12" spans="1:9" s="13" customFormat="1" x14ac:dyDescent="0.35">
      <c r="A12" s="12">
        <v>8</v>
      </c>
      <c r="B12" s="18"/>
      <c r="C12" s="14"/>
      <c r="D12" s="14"/>
      <c r="E12" s="6"/>
      <c r="F12" s="6"/>
      <c r="G12" s="6"/>
      <c r="H12" s="14"/>
    </row>
    <row r="13" spans="1:9" s="13" customFormat="1" x14ac:dyDescent="0.35">
      <c r="A13" s="12">
        <v>9</v>
      </c>
      <c r="B13" s="18"/>
      <c r="C13" s="14"/>
      <c r="D13" s="14"/>
      <c r="E13" s="6"/>
      <c r="F13" s="6"/>
      <c r="G13" s="6"/>
      <c r="H13" s="14"/>
    </row>
    <row r="14" spans="1:9" s="13" customFormat="1" x14ac:dyDescent="0.35">
      <c r="A14" s="12">
        <v>10</v>
      </c>
      <c r="B14" s="18"/>
      <c r="C14" s="14"/>
      <c r="D14" s="14"/>
      <c r="E14" s="6"/>
      <c r="F14" s="6"/>
      <c r="G14" s="6"/>
      <c r="H14" s="14"/>
    </row>
    <row r="15" spans="1:9" s="13" customFormat="1" x14ac:dyDescent="0.35">
      <c r="A15" s="12">
        <v>11</v>
      </c>
      <c r="B15" s="18"/>
      <c r="C15" s="14"/>
      <c r="D15" s="14"/>
      <c r="E15" s="6"/>
      <c r="F15" s="6"/>
      <c r="G15" s="6"/>
      <c r="H15" s="14"/>
    </row>
    <row r="16" spans="1:9" s="13" customFormat="1" x14ac:dyDescent="0.35">
      <c r="A16" s="12">
        <v>12</v>
      </c>
      <c r="B16" s="18"/>
      <c r="C16" s="14"/>
      <c r="D16" s="14"/>
      <c r="E16" s="6"/>
      <c r="F16" s="6"/>
      <c r="G16" s="6"/>
      <c r="H16" s="14"/>
    </row>
    <row r="17" spans="1:8" s="13" customFormat="1" x14ac:dyDescent="0.35">
      <c r="A17" s="12">
        <v>13</v>
      </c>
      <c r="B17" s="18"/>
      <c r="C17" s="14"/>
      <c r="D17" s="14"/>
      <c r="E17" s="6"/>
      <c r="F17" s="6"/>
      <c r="G17" s="6"/>
      <c r="H17" s="14"/>
    </row>
    <row r="18" spans="1:8" s="13" customFormat="1" x14ac:dyDescent="0.35">
      <c r="A18" s="12">
        <v>14</v>
      </c>
      <c r="B18" s="18"/>
      <c r="C18" s="14"/>
      <c r="D18" s="14"/>
      <c r="E18" s="6"/>
      <c r="F18" s="6"/>
      <c r="G18" s="6"/>
      <c r="H18" s="14"/>
    </row>
    <row r="19" spans="1:8" s="13" customFormat="1" x14ac:dyDescent="0.35">
      <c r="A19" s="12">
        <v>15</v>
      </c>
      <c r="B19" s="18"/>
      <c r="C19" s="14"/>
      <c r="D19" s="14"/>
      <c r="E19" s="6"/>
      <c r="F19" s="6"/>
      <c r="G19" s="6"/>
      <c r="H19" s="14"/>
    </row>
    <row r="20" spans="1:8" s="13" customFormat="1" x14ac:dyDescent="0.35">
      <c r="A20" s="12">
        <v>16</v>
      </c>
      <c r="B20" s="18"/>
      <c r="C20" s="14"/>
      <c r="D20" s="14"/>
      <c r="E20" s="6"/>
      <c r="F20" s="6"/>
      <c r="G20" s="6"/>
      <c r="H20" s="14"/>
    </row>
    <row r="21" spans="1:8" s="13" customFormat="1" x14ac:dyDescent="0.35">
      <c r="A21" s="12">
        <v>17</v>
      </c>
      <c r="B21" s="18"/>
      <c r="C21" s="14"/>
      <c r="D21" s="14"/>
      <c r="E21" s="6"/>
      <c r="F21" s="6"/>
      <c r="G21" s="6"/>
      <c r="H21" s="14"/>
    </row>
    <row r="22" spans="1:8" s="13" customFormat="1" x14ac:dyDescent="0.35">
      <c r="A22" s="12">
        <v>18</v>
      </c>
      <c r="B22" s="18"/>
      <c r="C22" s="14"/>
      <c r="D22" s="14"/>
      <c r="E22" s="6"/>
      <c r="F22" s="6"/>
      <c r="G22" s="6"/>
      <c r="H22" s="14"/>
    </row>
    <row r="23" spans="1:8" s="13" customFormat="1" x14ac:dyDescent="0.35">
      <c r="A23" s="12">
        <v>19</v>
      </c>
      <c r="B23" s="18"/>
      <c r="C23" s="14"/>
      <c r="D23" s="14"/>
      <c r="E23" s="6"/>
      <c r="F23" s="6"/>
      <c r="G23" s="6"/>
      <c r="H23" s="14"/>
    </row>
    <row r="24" spans="1:8" s="13" customFormat="1" x14ac:dyDescent="0.35">
      <c r="A24" s="12">
        <v>20</v>
      </c>
      <c r="B24" s="18"/>
      <c r="C24" s="14"/>
      <c r="D24" s="14"/>
      <c r="E24" s="6"/>
      <c r="F24" s="6"/>
      <c r="G24" s="6"/>
      <c r="H24" s="14"/>
    </row>
    <row r="25" spans="1:8" s="13" customFormat="1" x14ac:dyDescent="0.35">
      <c r="A25" s="12">
        <v>21</v>
      </c>
      <c r="B25" s="18"/>
      <c r="C25" s="14"/>
      <c r="D25" s="14"/>
      <c r="E25" s="6"/>
      <c r="F25" s="6"/>
      <c r="G25" s="6"/>
      <c r="H25" s="14"/>
    </row>
    <row r="26" spans="1:8" s="13" customFormat="1" x14ac:dyDescent="0.35">
      <c r="A26" s="12">
        <v>22</v>
      </c>
      <c r="B26" s="18"/>
      <c r="C26" s="14"/>
      <c r="D26" s="14"/>
      <c r="E26" s="6"/>
      <c r="F26" s="6"/>
      <c r="G26" s="6"/>
      <c r="H26" s="14"/>
    </row>
    <row r="27" spans="1:8" s="13" customFormat="1" x14ac:dyDescent="0.35">
      <c r="A27" s="12">
        <v>23</v>
      </c>
      <c r="B27" s="18"/>
      <c r="C27" s="14"/>
      <c r="D27" s="14"/>
      <c r="E27" s="6"/>
      <c r="F27" s="6"/>
      <c r="G27" s="6"/>
      <c r="H27" s="14"/>
    </row>
    <row r="28" spans="1:8" s="13" customFormat="1" x14ac:dyDescent="0.35">
      <c r="A28" s="12">
        <v>24</v>
      </c>
      <c r="B28" s="18"/>
      <c r="C28" s="14"/>
      <c r="D28" s="14"/>
      <c r="E28" s="6"/>
      <c r="F28" s="6"/>
      <c r="G28" s="6"/>
      <c r="H28" s="14"/>
    </row>
    <row r="29" spans="1:8" s="13" customFormat="1" x14ac:dyDescent="0.35">
      <c r="A29" s="12">
        <v>25</v>
      </c>
      <c r="B29" s="18"/>
      <c r="C29" s="14"/>
      <c r="D29" s="14"/>
      <c r="E29" s="6"/>
      <c r="F29" s="6"/>
      <c r="G29" s="6"/>
      <c r="H29" s="14"/>
    </row>
    <row r="30" spans="1:8" s="13" customFormat="1" x14ac:dyDescent="0.35">
      <c r="A30" s="12">
        <v>26</v>
      </c>
      <c r="B30" s="18"/>
      <c r="C30" s="14"/>
      <c r="D30" s="14"/>
      <c r="E30" s="6"/>
      <c r="F30" s="6"/>
      <c r="G30" s="6"/>
      <c r="H30" s="14"/>
    </row>
    <row r="31" spans="1:8" s="13" customFormat="1" x14ac:dyDescent="0.35">
      <c r="A31" s="12">
        <v>27</v>
      </c>
      <c r="B31" s="18"/>
      <c r="C31" s="14"/>
      <c r="D31" s="14"/>
      <c r="E31" s="6"/>
      <c r="F31" s="6"/>
      <c r="G31" s="6"/>
      <c r="H31" s="14"/>
    </row>
    <row r="32" spans="1:8" s="13" customFormat="1" x14ac:dyDescent="0.35">
      <c r="A32" s="12">
        <v>28</v>
      </c>
      <c r="B32" s="18"/>
      <c r="C32" s="14"/>
      <c r="D32" s="14"/>
      <c r="E32" s="6"/>
      <c r="F32" s="6"/>
      <c r="G32" s="6"/>
      <c r="H32" s="14"/>
    </row>
    <row r="33" spans="1:11" s="13" customFormat="1" x14ac:dyDescent="0.35">
      <c r="A33" s="12">
        <v>29</v>
      </c>
      <c r="B33" s="18"/>
      <c r="C33" s="14"/>
      <c r="D33" s="14"/>
      <c r="E33" s="6"/>
      <c r="F33" s="6"/>
      <c r="G33" s="6"/>
      <c r="H33" s="14"/>
    </row>
    <row r="34" spans="1:11" s="13" customFormat="1" x14ac:dyDescent="0.35">
      <c r="A34" s="12">
        <v>30</v>
      </c>
      <c r="B34" s="18"/>
      <c r="C34" s="14"/>
      <c r="D34" s="14"/>
      <c r="E34" s="6"/>
      <c r="F34" s="6"/>
      <c r="G34" s="6"/>
      <c r="H34" s="14"/>
    </row>
    <row r="35" spans="1:11" s="13" customFormat="1" x14ac:dyDescent="0.35">
      <c r="A35" s="12">
        <v>31</v>
      </c>
      <c r="B35" s="18"/>
      <c r="C35" s="14"/>
      <c r="D35" s="14"/>
      <c r="E35" s="6"/>
      <c r="F35" s="6"/>
      <c r="G35" s="6"/>
      <c r="H35" s="14"/>
    </row>
    <row r="36" spans="1:11" s="13" customFormat="1" x14ac:dyDescent="0.35">
      <c r="A36" s="12">
        <v>32</v>
      </c>
      <c r="B36" s="18"/>
      <c r="C36" s="14"/>
      <c r="D36" s="14"/>
      <c r="E36" s="6"/>
      <c r="F36" s="6"/>
      <c r="G36" s="6"/>
      <c r="H36" s="32"/>
    </row>
    <row r="37" spans="1:11" s="13" customFormat="1" x14ac:dyDescent="0.35">
      <c r="A37" s="12">
        <v>33</v>
      </c>
      <c r="B37" s="18"/>
      <c r="C37" s="14"/>
      <c r="D37" s="14"/>
      <c r="E37" s="6"/>
      <c r="F37" s="6"/>
      <c r="G37" s="6"/>
      <c r="H37" s="33"/>
    </row>
    <row r="38" spans="1:11" s="13" customFormat="1" x14ac:dyDescent="0.35">
      <c r="A38" s="12">
        <v>34</v>
      </c>
      <c r="B38" s="18"/>
      <c r="C38" s="14"/>
      <c r="D38" s="14"/>
      <c r="E38" s="6"/>
      <c r="F38" s="6"/>
      <c r="G38" s="6"/>
      <c r="H38" s="33"/>
    </row>
    <row r="39" spans="1:11" s="13" customFormat="1" x14ac:dyDescent="0.35">
      <c r="A39" s="12">
        <v>35</v>
      </c>
      <c r="B39" s="18"/>
      <c r="C39" s="14"/>
      <c r="D39" s="14"/>
      <c r="E39" s="6"/>
      <c r="F39" s="6"/>
      <c r="G39" s="6"/>
      <c r="H39" s="33"/>
    </row>
    <row r="40" spans="1:11" s="13" customFormat="1" x14ac:dyDescent="0.35">
      <c r="A40" s="12">
        <v>36</v>
      </c>
      <c r="B40" s="18"/>
      <c r="C40" s="14"/>
      <c r="D40" s="14"/>
      <c r="E40" s="6"/>
      <c r="F40" s="6"/>
      <c r="G40" s="6"/>
      <c r="H40" s="33"/>
    </row>
    <row r="41" spans="1:11" s="13" customFormat="1" x14ac:dyDescent="0.35">
      <c r="A41" s="12">
        <v>37</v>
      </c>
      <c r="B41" s="18"/>
      <c r="C41" s="14"/>
      <c r="D41" s="14"/>
      <c r="E41" s="6"/>
      <c r="F41" s="6"/>
      <c r="G41" s="6"/>
      <c r="H41" s="33"/>
    </row>
    <row r="42" spans="1:11" s="13" customFormat="1" x14ac:dyDescent="0.35">
      <c r="A42" s="12">
        <v>38</v>
      </c>
      <c r="B42" s="18"/>
      <c r="C42" s="14"/>
      <c r="D42" s="14"/>
      <c r="E42" s="6"/>
      <c r="F42" s="6"/>
      <c r="G42" s="6"/>
      <c r="H42" s="33"/>
    </row>
    <row r="43" spans="1:11" s="13" customFormat="1" x14ac:dyDescent="0.35">
      <c r="A43" s="12">
        <v>39</v>
      </c>
      <c r="B43" s="18"/>
      <c r="C43" s="14"/>
      <c r="D43" s="14"/>
      <c r="E43" s="6"/>
      <c r="F43" s="6"/>
      <c r="G43" s="6"/>
      <c r="H43" s="34"/>
    </row>
    <row r="44" spans="1:11" s="13" customFormat="1" x14ac:dyDescent="0.35">
      <c r="A44" s="12">
        <v>40</v>
      </c>
      <c r="B44" s="15"/>
      <c r="C44" s="14"/>
      <c r="D44" s="14"/>
      <c r="E44" s="6"/>
      <c r="F44" s="6"/>
      <c r="G44" s="6"/>
      <c r="I44" s="16">
        <f>SUM(E7:E44)</f>
        <v>0</v>
      </c>
      <c r="J44" s="13">
        <f>1782500</f>
        <v>1782500</v>
      </c>
      <c r="K44" s="16">
        <f>I44-J44</f>
        <v>-1782500</v>
      </c>
    </row>
    <row r="45" spans="1:11" x14ac:dyDescent="0.35">
      <c r="A45" s="28" t="s">
        <v>5</v>
      </c>
      <c r="B45" s="29"/>
      <c r="C45" s="30"/>
      <c r="D45" s="3"/>
      <c r="E45" s="4">
        <f>SUM(E6:E44)</f>
        <v>0</v>
      </c>
      <c r="F45" s="4">
        <f>SUM(F6:F44)</f>
        <v>0</v>
      </c>
      <c r="G45" s="4">
        <f>F45-E45</f>
        <v>0</v>
      </c>
      <c r="H45" s="1"/>
    </row>
    <row r="46" spans="1:11" x14ac:dyDescent="0.35">
      <c r="A46" s="28" t="s">
        <v>6</v>
      </c>
      <c r="B46" s="29"/>
      <c r="C46" s="30"/>
      <c r="D46" s="3"/>
      <c r="E46" s="4">
        <f>E5+E45</f>
        <v>8208000</v>
      </c>
      <c r="F46" s="4">
        <f t="shared" ref="F46:G46" si="0">F5+F45</f>
        <v>11453570</v>
      </c>
      <c r="G46" s="4">
        <f t="shared" si="0"/>
        <v>3245570</v>
      </c>
      <c r="H46" s="1"/>
    </row>
    <row r="47" spans="1:11" x14ac:dyDescent="0.35">
      <c r="A47" s="28" t="s">
        <v>7</v>
      </c>
      <c r="B47" s="29"/>
      <c r="C47" s="30"/>
      <c r="D47" s="3"/>
      <c r="E47" s="4">
        <f t="shared" ref="E47:G47" si="1">E46</f>
        <v>8208000</v>
      </c>
      <c r="F47" s="4">
        <f t="shared" si="1"/>
        <v>11453570</v>
      </c>
      <c r="G47" s="4">
        <f t="shared" si="1"/>
        <v>3245570</v>
      </c>
      <c r="H47" s="1"/>
      <c r="I47" s="5">
        <f>2477500-1782500</f>
        <v>695000</v>
      </c>
    </row>
    <row r="49" spans="6:8" x14ac:dyDescent="0.35">
      <c r="F49" s="27" t="s">
        <v>39</v>
      </c>
      <c r="G49" s="27"/>
      <c r="H49" s="27"/>
    </row>
    <row r="50" spans="6:8" x14ac:dyDescent="0.35">
      <c r="F50" s="27" t="s">
        <v>13</v>
      </c>
      <c r="G50" s="27"/>
      <c r="H50" s="27"/>
    </row>
  </sheetData>
  <mergeCells count="9">
    <mergeCell ref="A47:C47"/>
    <mergeCell ref="F49:H49"/>
    <mergeCell ref="F50:H50"/>
    <mergeCell ref="A1:H1"/>
    <mergeCell ref="A2:H2"/>
    <mergeCell ref="A3:H3"/>
    <mergeCell ref="H36:H43"/>
    <mergeCell ref="A45:C45"/>
    <mergeCell ref="A46:C46"/>
  </mergeCells>
  <pageMargins left="0.75" right="0.75" top="1" bottom="1" header="0.5" footer="0.5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F5A28-E87B-4A08-8ABE-B65CF43474E0}">
  <sheetPr>
    <tabColor rgb="FF0070C0"/>
  </sheetPr>
  <dimension ref="A1:K50"/>
  <sheetViews>
    <sheetView topLeftCell="A34" zoomScale="129" workbookViewId="0">
      <selection activeCell="C34" sqref="C1:C1048576"/>
    </sheetView>
  </sheetViews>
  <sheetFormatPr defaultRowHeight="14.5" x14ac:dyDescent="0.35"/>
  <cols>
    <col min="1" max="1" width="5" customWidth="1"/>
    <col min="2" max="2" width="13.54296875" customWidth="1"/>
    <col min="3" max="3" width="42.7265625" customWidth="1"/>
    <col min="4" max="4" width="7" customWidth="1"/>
    <col min="5" max="5" width="16.6328125" customWidth="1"/>
    <col min="6" max="6" width="16.54296875" customWidth="1"/>
    <col min="7" max="7" width="16.6328125" customWidth="1"/>
    <col min="8" max="8" width="11.6328125" customWidth="1"/>
    <col min="9" max="9" width="14.90625" bestFit="1" customWidth="1"/>
    <col min="11" max="11" width="12.26953125" bestFit="1" customWidth="1"/>
  </cols>
  <sheetData>
    <row r="1" spans="1:9" ht="15.5" x14ac:dyDescent="0.35">
      <c r="A1" s="31" t="s">
        <v>12</v>
      </c>
      <c r="B1" s="31"/>
      <c r="C1" s="31"/>
      <c r="D1" s="31"/>
      <c r="E1" s="31"/>
      <c r="F1" s="31"/>
      <c r="G1" s="31"/>
      <c r="H1" s="31"/>
    </row>
    <row r="2" spans="1:9" ht="15.5" x14ac:dyDescent="0.35">
      <c r="A2" s="31" t="s">
        <v>8</v>
      </c>
      <c r="B2" s="31"/>
      <c r="C2" s="31"/>
      <c r="D2" s="31"/>
      <c r="E2" s="31"/>
      <c r="F2" s="31"/>
      <c r="G2" s="31"/>
      <c r="H2" s="31"/>
    </row>
    <row r="3" spans="1:9" ht="15.5" x14ac:dyDescent="0.35">
      <c r="A3" s="31" t="s">
        <v>41</v>
      </c>
      <c r="B3" s="31"/>
      <c r="C3" s="31"/>
      <c r="D3" s="31"/>
      <c r="E3" s="31"/>
      <c r="F3" s="31"/>
      <c r="G3" s="31"/>
      <c r="H3" s="31"/>
    </row>
    <row r="4" spans="1:9" ht="15.5" x14ac:dyDescent="0.35">
      <c r="A4" s="2" t="s">
        <v>0</v>
      </c>
      <c r="B4" s="2" t="s">
        <v>1</v>
      </c>
      <c r="C4" s="2" t="s">
        <v>2</v>
      </c>
      <c r="D4" s="2" t="s">
        <v>11</v>
      </c>
      <c r="E4" s="2" t="s">
        <v>9</v>
      </c>
      <c r="F4" s="2" t="s">
        <v>10</v>
      </c>
      <c r="G4" s="2" t="s">
        <v>3</v>
      </c>
      <c r="H4" s="2" t="s">
        <v>4</v>
      </c>
    </row>
    <row r="5" spans="1:9" s="11" customFormat="1" x14ac:dyDescent="0.35">
      <c r="A5" s="7">
        <v>1</v>
      </c>
      <c r="B5" s="20">
        <v>46357</v>
      </c>
      <c r="C5" s="21" t="s">
        <v>14</v>
      </c>
      <c r="D5" s="22"/>
      <c r="E5" s="23">
        <f>'Oktober '!E47</f>
        <v>8208000</v>
      </c>
      <c r="F5" s="23">
        <f>'Oktober '!F47</f>
        <v>11453570</v>
      </c>
      <c r="G5" s="23">
        <f>'Oktober '!G47</f>
        <v>3245570</v>
      </c>
      <c r="H5" s="24"/>
      <c r="I5" s="17">
        <f>G5*5%</f>
        <v>162278.5</v>
      </c>
    </row>
    <row r="6" spans="1:9" s="13" customFormat="1" x14ac:dyDescent="0.35">
      <c r="A6" s="12">
        <v>2</v>
      </c>
      <c r="B6" s="19"/>
      <c r="C6" s="8"/>
      <c r="D6" s="9"/>
      <c r="E6" s="10"/>
      <c r="F6" s="10"/>
      <c r="G6" s="10"/>
      <c r="H6" s="9"/>
    </row>
    <row r="7" spans="1:9" s="13" customFormat="1" x14ac:dyDescent="0.35">
      <c r="A7" s="12">
        <v>3</v>
      </c>
      <c r="B7" s="18"/>
      <c r="C7" s="14"/>
      <c r="D7" s="14"/>
      <c r="E7" s="6"/>
      <c r="F7" s="6"/>
      <c r="G7" s="6"/>
      <c r="H7" s="14"/>
    </row>
    <row r="8" spans="1:9" s="13" customFormat="1" x14ac:dyDescent="0.35">
      <c r="A8" s="12">
        <v>4</v>
      </c>
      <c r="B8" s="18"/>
      <c r="C8" s="14"/>
      <c r="D8" s="14"/>
      <c r="E8" s="6"/>
      <c r="F8" s="6"/>
      <c r="G8" s="6"/>
      <c r="H8" s="14"/>
    </row>
    <row r="9" spans="1:9" s="13" customFormat="1" x14ac:dyDescent="0.35">
      <c r="A9" s="12">
        <v>5</v>
      </c>
      <c r="B9" s="18"/>
      <c r="C9" s="14"/>
      <c r="D9" s="14"/>
      <c r="E9" s="6"/>
      <c r="F9" s="6"/>
      <c r="G9" s="6"/>
      <c r="H9" s="14"/>
    </row>
    <row r="10" spans="1:9" s="13" customFormat="1" x14ac:dyDescent="0.35">
      <c r="A10" s="12">
        <v>6</v>
      </c>
      <c r="B10" s="18"/>
      <c r="C10" s="14"/>
      <c r="D10" s="14"/>
      <c r="E10" s="6"/>
      <c r="F10" s="6"/>
      <c r="G10" s="6"/>
      <c r="H10" s="14"/>
    </row>
    <row r="11" spans="1:9" s="13" customFormat="1" x14ac:dyDescent="0.35">
      <c r="A11" s="12">
        <v>7</v>
      </c>
      <c r="B11" s="18"/>
      <c r="C11" s="14"/>
      <c r="D11" s="14"/>
      <c r="E11" s="6"/>
      <c r="F11" s="6"/>
      <c r="G11" s="6"/>
      <c r="H11" s="14"/>
    </row>
    <row r="12" spans="1:9" s="13" customFormat="1" x14ac:dyDescent="0.35">
      <c r="A12" s="12">
        <v>8</v>
      </c>
      <c r="B12" s="18"/>
      <c r="C12" s="14"/>
      <c r="D12" s="14"/>
      <c r="E12" s="6"/>
      <c r="F12" s="6"/>
      <c r="G12" s="6"/>
      <c r="H12" s="14"/>
    </row>
    <row r="13" spans="1:9" s="13" customFormat="1" x14ac:dyDescent="0.35">
      <c r="A13" s="12">
        <v>9</v>
      </c>
      <c r="B13" s="18"/>
      <c r="C13" s="14"/>
      <c r="D13" s="14"/>
      <c r="E13" s="6"/>
      <c r="F13" s="6"/>
      <c r="G13" s="6"/>
      <c r="H13" s="14"/>
    </row>
    <row r="14" spans="1:9" s="13" customFormat="1" x14ac:dyDescent="0.35">
      <c r="A14" s="12">
        <v>10</v>
      </c>
      <c r="B14" s="18"/>
      <c r="C14" s="14"/>
      <c r="D14" s="14"/>
      <c r="E14" s="6"/>
      <c r="F14" s="6"/>
      <c r="G14" s="6"/>
      <c r="H14" s="14"/>
    </row>
    <row r="15" spans="1:9" s="13" customFormat="1" x14ac:dyDescent="0.35">
      <c r="A15" s="12">
        <v>11</v>
      </c>
      <c r="B15" s="18"/>
      <c r="C15" s="14"/>
      <c r="D15" s="14"/>
      <c r="E15" s="6"/>
      <c r="F15" s="6"/>
      <c r="G15" s="6"/>
      <c r="H15" s="14"/>
    </row>
    <row r="16" spans="1:9" s="13" customFormat="1" x14ac:dyDescent="0.35">
      <c r="A16" s="12">
        <v>12</v>
      </c>
      <c r="B16" s="18"/>
      <c r="C16" s="14"/>
      <c r="D16" s="14"/>
      <c r="E16" s="6"/>
      <c r="F16" s="6"/>
      <c r="G16" s="6"/>
      <c r="H16" s="14"/>
    </row>
    <row r="17" spans="1:8" s="13" customFormat="1" x14ac:dyDescent="0.35">
      <c r="A17" s="12">
        <v>13</v>
      </c>
      <c r="B17" s="18"/>
      <c r="C17" s="14"/>
      <c r="D17" s="14"/>
      <c r="E17" s="6"/>
      <c r="F17" s="6"/>
      <c r="G17" s="6"/>
      <c r="H17" s="14"/>
    </row>
    <row r="18" spans="1:8" s="13" customFormat="1" x14ac:dyDescent="0.35">
      <c r="A18" s="12">
        <v>14</v>
      </c>
      <c r="B18" s="18"/>
      <c r="C18" s="14"/>
      <c r="D18" s="14"/>
      <c r="E18" s="6"/>
      <c r="F18" s="6"/>
      <c r="G18" s="6"/>
      <c r="H18" s="14"/>
    </row>
    <row r="19" spans="1:8" s="13" customFormat="1" x14ac:dyDescent="0.35">
      <c r="A19" s="12">
        <v>15</v>
      </c>
      <c r="B19" s="18"/>
      <c r="C19" s="14"/>
      <c r="D19" s="14"/>
      <c r="E19" s="6"/>
      <c r="F19" s="6"/>
      <c r="G19" s="6"/>
      <c r="H19" s="14"/>
    </row>
    <row r="20" spans="1:8" s="13" customFormat="1" x14ac:dyDescent="0.35">
      <c r="A20" s="12">
        <v>16</v>
      </c>
      <c r="B20" s="18"/>
      <c r="C20" s="14"/>
      <c r="D20" s="14"/>
      <c r="E20" s="6"/>
      <c r="F20" s="6"/>
      <c r="G20" s="6"/>
      <c r="H20" s="14"/>
    </row>
    <row r="21" spans="1:8" s="13" customFormat="1" x14ac:dyDescent="0.35">
      <c r="A21" s="12">
        <v>17</v>
      </c>
      <c r="B21" s="18"/>
      <c r="C21" s="14"/>
      <c r="D21" s="14"/>
      <c r="E21" s="6"/>
      <c r="F21" s="6"/>
      <c r="G21" s="6"/>
      <c r="H21" s="14"/>
    </row>
    <row r="22" spans="1:8" s="13" customFormat="1" x14ac:dyDescent="0.35">
      <c r="A22" s="12">
        <v>18</v>
      </c>
      <c r="B22" s="18"/>
      <c r="C22" s="14"/>
      <c r="D22" s="14"/>
      <c r="E22" s="6"/>
      <c r="F22" s="6"/>
      <c r="G22" s="6"/>
      <c r="H22" s="14"/>
    </row>
    <row r="23" spans="1:8" s="13" customFormat="1" x14ac:dyDescent="0.35">
      <c r="A23" s="12">
        <v>19</v>
      </c>
      <c r="B23" s="18"/>
      <c r="C23" s="14"/>
      <c r="D23" s="14"/>
      <c r="E23" s="6"/>
      <c r="F23" s="6"/>
      <c r="G23" s="6"/>
      <c r="H23" s="14"/>
    </row>
    <row r="24" spans="1:8" s="13" customFormat="1" x14ac:dyDescent="0.35">
      <c r="A24" s="12">
        <v>20</v>
      </c>
      <c r="B24" s="18"/>
      <c r="C24" s="14"/>
      <c r="D24" s="14"/>
      <c r="E24" s="6"/>
      <c r="F24" s="6"/>
      <c r="G24" s="6"/>
      <c r="H24" s="14"/>
    </row>
    <row r="25" spans="1:8" s="13" customFormat="1" x14ac:dyDescent="0.35">
      <c r="A25" s="12">
        <v>21</v>
      </c>
      <c r="B25" s="18"/>
      <c r="C25" s="14"/>
      <c r="D25" s="14"/>
      <c r="E25" s="6"/>
      <c r="F25" s="6"/>
      <c r="G25" s="6"/>
      <c r="H25" s="14"/>
    </row>
    <row r="26" spans="1:8" s="13" customFormat="1" x14ac:dyDescent="0.35">
      <c r="A26" s="12">
        <v>22</v>
      </c>
      <c r="B26" s="18"/>
      <c r="C26" s="14"/>
      <c r="D26" s="14"/>
      <c r="E26" s="6"/>
      <c r="F26" s="6"/>
      <c r="G26" s="6"/>
      <c r="H26" s="14"/>
    </row>
    <row r="27" spans="1:8" s="13" customFormat="1" x14ac:dyDescent="0.35">
      <c r="A27" s="12">
        <v>23</v>
      </c>
      <c r="B27" s="18"/>
      <c r="C27" s="14"/>
      <c r="D27" s="14"/>
      <c r="E27" s="6"/>
      <c r="F27" s="6"/>
      <c r="G27" s="6"/>
      <c r="H27" s="14"/>
    </row>
    <row r="28" spans="1:8" s="13" customFormat="1" x14ac:dyDescent="0.35">
      <c r="A28" s="12">
        <v>24</v>
      </c>
      <c r="B28" s="18"/>
      <c r="C28" s="14"/>
      <c r="D28" s="14"/>
      <c r="E28" s="6"/>
      <c r="F28" s="6"/>
      <c r="G28" s="6"/>
      <c r="H28" s="14"/>
    </row>
    <row r="29" spans="1:8" s="13" customFormat="1" x14ac:dyDescent="0.35">
      <c r="A29" s="12">
        <v>25</v>
      </c>
      <c r="B29" s="18"/>
      <c r="C29" s="14"/>
      <c r="D29" s="14"/>
      <c r="E29" s="6"/>
      <c r="F29" s="6"/>
      <c r="G29" s="6"/>
      <c r="H29" s="14"/>
    </row>
    <row r="30" spans="1:8" s="13" customFormat="1" x14ac:dyDescent="0.35">
      <c r="A30" s="12">
        <v>26</v>
      </c>
      <c r="B30" s="18"/>
      <c r="C30" s="14"/>
      <c r="D30" s="14"/>
      <c r="E30" s="6"/>
      <c r="F30" s="6"/>
      <c r="G30" s="6"/>
      <c r="H30" s="14"/>
    </row>
    <row r="31" spans="1:8" s="13" customFormat="1" x14ac:dyDescent="0.35">
      <c r="A31" s="12">
        <v>27</v>
      </c>
      <c r="B31" s="18"/>
      <c r="C31" s="14"/>
      <c r="D31" s="14"/>
      <c r="E31" s="6"/>
      <c r="F31" s="6"/>
      <c r="G31" s="6"/>
      <c r="H31" s="14"/>
    </row>
    <row r="32" spans="1:8" s="13" customFormat="1" x14ac:dyDescent="0.35">
      <c r="A32" s="12">
        <v>28</v>
      </c>
      <c r="B32" s="18"/>
      <c r="C32" s="14"/>
      <c r="D32" s="14"/>
      <c r="E32" s="6"/>
      <c r="F32" s="6"/>
      <c r="G32" s="6"/>
      <c r="H32" s="14"/>
    </row>
    <row r="33" spans="1:11" s="13" customFormat="1" x14ac:dyDescent="0.35">
      <c r="A33" s="12">
        <v>29</v>
      </c>
      <c r="B33" s="18"/>
      <c r="C33" s="14"/>
      <c r="D33" s="14"/>
      <c r="E33" s="6"/>
      <c r="F33" s="6"/>
      <c r="G33" s="6"/>
      <c r="H33" s="14"/>
    </row>
    <row r="34" spans="1:11" s="13" customFormat="1" x14ac:dyDescent="0.35">
      <c r="A34" s="12">
        <v>30</v>
      </c>
      <c r="B34" s="18"/>
      <c r="C34" s="14"/>
      <c r="D34" s="14"/>
      <c r="E34" s="6"/>
      <c r="F34" s="6"/>
      <c r="G34" s="6"/>
      <c r="H34" s="14"/>
    </row>
    <row r="35" spans="1:11" s="13" customFormat="1" x14ac:dyDescent="0.35">
      <c r="A35" s="12">
        <v>31</v>
      </c>
      <c r="B35" s="18"/>
      <c r="C35" s="14"/>
      <c r="D35" s="14"/>
      <c r="E35" s="6"/>
      <c r="F35" s="6"/>
      <c r="G35" s="6"/>
      <c r="H35" s="14"/>
    </row>
    <row r="36" spans="1:11" s="13" customFormat="1" x14ac:dyDescent="0.35">
      <c r="A36" s="12">
        <v>32</v>
      </c>
      <c r="B36" s="18"/>
      <c r="C36" s="14"/>
      <c r="D36" s="14"/>
      <c r="E36" s="6"/>
      <c r="F36" s="6"/>
      <c r="G36" s="6"/>
      <c r="H36" s="32"/>
    </row>
    <row r="37" spans="1:11" s="13" customFormat="1" x14ac:dyDescent="0.35">
      <c r="A37" s="12">
        <v>33</v>
      </c>
      <c r="B37" s="18"/>
      <c r="C37" s="14"/>
      <c r="D37" s="14"/>
      <c r="E37" s="6"/>
      <c r="F37" s="6"/>
      <c r="G37" s="6"/>
      <c r="H37" s="33"/>
    </row>
    <row r="38" spans="1:11" s="13" customFormat="1" x14ac:dyDescent="0.35">
      <c r="A38" s="12">
        <v>34</v>
      </c>
      <c r="B38" s="18"/>
      <c r="C38" s="14"/>
      <c r="D38" s="14"/>
      <c r="E38" s="6"/>
      <c r="F38" s="6"/>
      <c r="G38" s="6"/>
      <c r="H38" s="33"/>
    </row>
    <row r="39" spans="1:11" s="13" customFormat="1" x14ac:dyDescent="0.35">
      <c r="A39" s="12">
        <v>35</v>
      </c>
      <c r="B39" s="18"/>
      <c r="C39" s="14"/>
      <c r="D39" s="14"/>
      <c r="E39" s="6"/>
      <c r="F39" s="6"/>
      <c r="G39" s="6"/>
      <c r="H39" s="33"/>
    </row>
    <row r="40" spans="1:11" s="13" customFormat="1" x14ac:dyDescent="0.35">
      <c r="A40" s="12">
        <v>36</v>
      </c>
      <c r="B40" s="18"/>
      <c r="C40" s="14"/>
      <c r="D40" s="14"/>
      <c r="E40" s="6"/>
      <c r="F40" s="6"/>
      <c r="G40" s="6"/>
      <c r="H40" s="33"/>
    </row>
    <row r="41" spans="1:11" s="13" customFormat="1" x14ac:dyDescent="0.35">
      <c r="A41" s="12">
        <v>37</v>
      </c>
      <c r="B41" s="18"/>
      <c r="C41" s="14"/>
      <c r="D41" s="14"/>
      <c r="E41" s="6"/>
      <c r="F41" s="6"/>
      <c r="G41" s="6"/>
      <c r="H41" s="33"/>
    </row>
    <row r="42" spans="1:11" s="13" customFormat="1" x14ac:dyDescent="0.35">
      <c r="A42" s="12">
        <v>38</v>
      </c>
      <c r="B42" s="18"/>
      <c r="C42" s="14"/>
      <c r="D42" s="14"/>
      <c r="E42" s="6"/>
      <c r="F42" s="6"/>
      <c r="G42" s="6"/>
      <c r="H42" s="33"/>
    </row>
    <row r="43" spans="1:11" s="13" customFormat="1" x14ac:dyDescent="0.35">
      <c r="A43" s="12">
        <v>39</v>
      </c>
      <c r="B43" s="18"/>
      <c r="C43" s="14"/>
      <c r="D43" s="14"/>
      <c r="E43" s="6"/>
      <c r="F43" s="6"/>
      <c r="G43" s="6"/>
      <c r="H43" s="34"/>
    </row>
    <row r="44" spans="1:11" s="13" customFormat="1" x14ac:dyDescent="0.35">
      <c r="A44" s="12">
        <v>40</v>
      </c>
      <c r="B44" s="15"/>
      <c r="C44" s="14"/>
      <c r="D44" s="14"/>
      <c r="E44" s="6"/>
      <c r="F44" s="6"/>
      <c r="G44" s="6"/>
      <c r="I44" s="16">
        <f>SUM(E7:E44)</f>
        <v>0</v>
      </c>
      <c r="J44" s="13">
        <f>1782500</f>
        <v>1782500</v>
      </c>
      <c r="K44" s="16">
        <f>I44-J44</f>
        <v>-1782500</v>
      </c>
    </row>
    <row r="45" spans="1:11" x14ac:dyDescent="0.35">
      <c r="A45" s="28" t="s">
        <v>5</v>
      </c>
      <c r="B45" s="29"/>
      <c r="C45" s="30"/>
      <c r="D45" s="3"/>
      <c r="E45" s="4">
        <f>SUM(E6:E44)</f>
        <v>0</v>
      </c>
      <c r="F45" s="4">
        <f>SUM(F6:F44)</f>
        <v>0</v>
      </c>
      <c r="G45" s="4">
        <f>F45-E45</f>
        <v>0</v>
      </c>
      <c r="H45" s="1"/>
    </row>
    <row r="46" spans="1:11" x14ac:dyDescent="0.35">
      <c r="A46" s="28" t="s">
        <v>6</v>
      </c>
      <c r="B46" s="29"/>
      <c r="C46" s="30"/>
      <c r="D46" s="3"/>
      <c r="E46" s="4">
        <f>E5+E45</f>
        <v>8208000</v>
      </c>
      <c r="F46" s="4">
        <f t="shared" ref="F46:G46" si="0">F5+F45</f>
        <v>11453570</v>
      </c>
      <c r="G46" s="4">
        <f t="shared" si="0"/>
        <v>3245570</v>
      </c>
      <c r="H46" s="1"/>
    </row>
    <row r="47" spans="1:11" x14ac:dyDescent="0.35">
      <c r="A47" s="28" t="s">
        <v>7</v>
      </c>
      <c r="B47" s="29"/>
      <c r="C47" s="30"/>
      <c r="D47" s="3"/>
      <c r="E47" s="4">
        <f t="shared" ref="E47:G47" si="1">E46</f>
        <v>8208000</v>
      </c>
      <c r="F47" s="4">
        <f t="shared" si="1"/>
        <v>11453570</v>
      </c>
      <c r="G47" s="4">
        <f t="shared" si="1"/>
        <v>3245570</v>
      </c>
      <c r="H47" s="1"/>
      <c r="I47" s="5">
        <f>2477500-1782500</f>
        <v>695000</v>
      </c>
    </row>
    <row r="49" spans="6:8" x14ac:dyDescent="0.35">
      <c r="F49" s="27" t="s">
        <v>42</v>
      </c>
      <c r="G49" s="27"/>
      <c r="H49" s="27"/>
    </row>
    <row r="50" spans="6:8" x14ac:dyDescent="0.35">
      <c r="F50" s="27" t="s">
        <v>13</v>
      </c>
      <c r="G50" s="27"/>
      <c r="H50" s="27"/>
    </row>
  </sheetData>
  <mergeCells count="9">
    <mergeCell ref="A47:C47"/>
    <mergeCell ref="F49:H49"/>
    <mergeCell ref="F50:H50"/>
    <mergeCell ref="A1:H1"/>
    <mergeCell ref="A2:H2"/>
    <mergeCell ref="A3:H3"/>
    <mergeCell ref="H36:H43"/>
    <mergeCell ref="A45:C45"/>
    <mergeCell ref="A46:C46"/>
  </mergeCells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12</vt:i4>
      </vt:variant>
    </vt:vector>
  </HeadingPairs>
  <TitlesOfParts>
    <vt:vector size="12" baseType="lpstr">
      <vt:lpstr>Januari</vt:lpstr>
      <vt:lpstr>Pebruari</vt:lpstr>
      <vt:lpstr>Maret</vt:lpstr>
      <vt:lpstr>April</vt:lpstr>
      <vt:lpstr>Mei</vt:lpstr>
      <vt:lpstr>Juni </vt:lpstr>
      <vt:lpstr>Juli</vt:lpstr>
      <vt:lpstr>Agustus</vt:lpstr>
      <vt:lpstr>September</vt:lpstr>
      <vt:lpstr>Oktober </vt:lpstr>
      <vt:lpstr>Nopember 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satijo sip</cp:lastModifiedBy>
  <cp:lastPrinted>2026-02-03T08:21:04Z</cp:lastPrinted>
  <dcterms:created xsi:type="dcterms:W3CDTF">2026-02-01T04:03:31Z</dcterms:created>
  <dcterms:modified xsi:type="dcterms:W3CDTF">2026-07-05T12:38:30Z</dcterms:modified>
</cp:coreProperties>
</file>