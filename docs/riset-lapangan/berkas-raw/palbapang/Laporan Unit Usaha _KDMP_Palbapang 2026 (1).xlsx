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f7261dde601367/Dokumen/BA_2026/Laporan BA/KDMP Palbapang/"/>
    </mc:Choice>
  </mc:AlternateContent>
  <xr:revisionPtr revIDLastSave="598" documentId="11_EEB130A46DDF30BD5513A22E46BB1C23B20FDEA5" xr6:coauthVersionLast="47" xr6:coauthVersionMax="47" xr10:uidLastSave="{621F2096-837C-4973-9D3B-C9ED090BFC54}"/>
  <bookViews>
    <workbookView xWindow="-110" yWindow="-110" windowWidth="19420" windowHeight="11500" xr2:uid="{00000000-000D-0000-FFFF-FFFF00000000}"/>
  </bookViews>
  <sheets>
    <sheet name="BRILINK" sheetId="1" r:id="rId1"/>
    <sheet name="POSPAY" sheetId="4" r:id="rId2"/>
    <sheet name="BANEW" sheetId="5" r:id="rId3"/>
    <sheet name="GERAI KANTOR" sheetId="7" r:id="rId4"/>
    <sheet name="MITRA SPPG" sheetId="6" r:id="rId5"/>
    <sheet name="Agro Mandiri" sheetId="12" r:id="rId6"/>
    <sheet name="opersional (2)" sheetId="10" r:id="rId7"/>
    <sheet name="Laba Rugi" sheetId="14" r:id="rId8"/>
  </sheets>
  <externalReferences>
    <externalReference r:id="rId9"/>
    <externalReference r:id="rId10"/>
    <externalReference r:id="rId11"/>
  </externalReferences>
  <definedNames>
    <definedName name="_xlnm._FilterDatabase" localSheetId="1" hidden="1">POSPAY!$A$4:$G$17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4" l="1"/>
  <c r="F22" i="14"/>
  <c r="I16" i="4"/>
  <c r="H16" i="4"/>
  <c r="F23" i="14"/>
  <c r="I10" i="6"/>
  <c r="F13" i="14"/>
  <c r="F7" i="12"/>
  <c r="F8" i="12" s="1"/>
  <c r="F9" i="12" s="1"/>
  <c r="F10" i="12" s="1"/>
  <c r="F6" i="12"/>
  <c r="H7" i="5"/>
  <c r="H8" i="5" s="1"/>
  <c r="H6" i="5"/>
  <c r="F6" i="5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" i="4"/>
  <c r="F6" i="4" s="1"/>
  <c r="F7" i="4" s="1"/>
  <c r="F8" i="4" s="1"/>
  <c r="F9" i="4" s="1"/>
  <c r="F10" i="4" s="1"/>
  <c r="F11" i="4" s="1"/>
  <c r="F12" i="4" s="1"/>
  <c r="F13" i="4" s="1"/>
  <c r="F14" i="4" s="1"/>
  <c r="F15" i="4" s="1"/>
  <c r="D17" i="1"/>
  <c r="D16" i="1"/>
  <c r="G15" i="1"/>
  <c r="G18" i="1" s="1"/>
  <c r="D15" i="1"/>
  <c r="D14" i="1"/>
  <c r="F6" i="6"/>
  <c r="F7" i="6" s="1"/>
  <c r="F8" i="6" s="1"/>
  <c r="F9" i="6" s="1"/>
  <c r="F10" i="6" s="1"/>
  <c r="F6" i="1"/>
  <c r="F7" i="1" s="1"/>
  <c r="F8" i="1" s="1"/>
  <c r="F9" i="1" s="1"/>
  <c r="F10" i="1" s="1"/>
  <c r="F11" i="1" s="1"/>
  <c r="F12" i="1" s="1"/>
  <c r="F13" i="1" s="1"/>
  <c r="B9" i="10"/>
  <c r="F16" i="4" l="1"/>
  <c r="F26" i="14"/>
  <c r="F28" i="14" s="1"/>
  <c r="F14" i="1"/>
  <c r="F15" i="1" s="1"/>
  <c r="F16" i="1" s="1"/>
  <c r="F17" i="1" s="1"/>
  <c r="F18" i="1" s="1"/>
  <c r="F11" i="6"/>
  <c r="F12" i="6" s="1"/>
  <c r="F13" i="6" s="1"/>
  <c r="F14" i="6" s="1"/>
</calcChain>
</file>

<file path=xl/sharedStrings.xml><?xml version="1.0" encoding="utf-8"?>
<sst xmlns="http://schemas.openxmlformats.org/spreadsheetml/2006/main" count="177" uniqueCount="90">
  <si>
    <t>Tanggal</t>
  </si>
  <si>
    <t>Jenis Transaksi</t>
  </si>
  <si>
    <t>Keterangan</t>
  </si>
  <si>
    <t xml:space="preserve">KOPERASI DESA MERAH PUTIH KALURAHAN PALBAPANG </t>
  </si>
  <si>
    <t>Masuk ( Rp )</t>
  </si>
  <si>
    <t>Keluar ( Rp )</t>
  </si>
  <si>
    <t>Saldo ( Rp )</t>
  </si>
  <si>
    <t xml:space="preserve">LAPORAN KEUANGAN UNIT USAHA BRILINK </t>
  </si>
  <si>
    <t>No.</t>
  </si>
  <si>
    <t>Palbapang , 30 Juni 2026</t>
  </si>
  <si>
    <t xml:space="preserve">Dibuat Oleh </t>
  </si>
  <si>
    <t>(.......................................)</t>
  </si>
  <si>
    <t>LAPORAN KEUANGAN UNIT USAHA POSPAY</t>
  </si>
  <si>
    <t>LAPORAN KEUANGAN UNIT USAHA BANEW</t>
  </si>
  <si>
    <t>LAPORAN KEUANGAN UNIT USAHA  MITRA SPPG</t>
  </si>
  <si>
    <t>LAPORAN KEUANGAN UNIT USAHA  GERAI KANTOR</t>
  </si>
  <si>
    <t>Pembelian pulsa</t>
  </si>
  <si>
    <t xml:space="preserve">Fee Brilink </t>
  </si>
  <si>
    <t xml:space="preserve">Admin Brilink </t>
  </si>
  <si>
    <t>Tranfer brilink</t>
  </si>
  <si>
    <t>pulsa</t>
  </si>
  <si>
    <t>Bagi Hasil Pisang</t>
  </si>
  <si>
    <t>Bagi Hasil Ayam broiler</t>
  </si>
  <si>
    <t>Bulan April</t>
  </si>
  <si>
    <t>Bulan Mei</t>
  </si>
  <si>
    <t>Bulan Juni</t>
  </si>
  <si>
    <t>Penjualan Buku Tabungan</t>
  </si>
  <si>
    <t>Transaksi brilink</t>
  </si>
  <si>
    <t>Tahun 2025</t>
  </si>
  <si>
    <t>Layanan Pengiriman</t>
  </si>
  <si>
    <t>Modal dari KDMP</t>
  </si>
  <si>
    <t>Belanja Materai</t>
  </si>
  <si>
    <t>Penjualan Materai</t>
  </si>
  <si>
    <t>Bulan Januari</t>
  </si>
  <si>
    <t>Bulan Pebruari</t>
  </si>
  <si>
    <t>Belanja Banew</t>
  </si>
  <si>
    <t xml:space="preserve">Terima Dari Bendahara </t>
  </si>
  <si>
    <t>Penjualan Banew Lembar 1</t>
  </si>
  <si>
    <t>Belanja Banew ke-2</t>
  </si>
  <si>
    <t>Penjualan Banew Lembar 4</t>
  </si>
  <si>
    <t xml:space="preserve">Belanja Banew ke-3 </t>
  </si>
  <si>
    <t>Penjualan Banew lembar ke 3-4</t>
  </si>
  <si>
    <t>Terima Penjualan dari Pak thedjo</t>
  </si>
  <si>
    <t xml:space="preserve">Penjualan terakhir juni </t>
  </si>
  <si>
    <t>Penjual Transfer ke BRI KDMP</t>
  </si>
  <si>
    <t>Cetak Buku dan Kartu Anggota KDMP Palbapang</t>
  </si>
  <si>
    <t>Tgl 01 Juli 2026</t>
  </si>
  <si>
    <t>Simpanan Sukarela Anggota</t>
  </si>
  <si>
    <t>LAPORAN LABA RUGI</t>
  </si>
  <si>
    <t xml:space="preserve">KDMP KALURAHAN PALBAPANG </t>
  </si>
  <si>
    <t>PERIODE JANUARI - JUNI 2026</t>
  </si>
  <si>
    <t>A</t>
  </si>
  <si>
    <t>PENDAPATAN</t>
  </si>
  <si>
    <t>Distributor Air Mineral Banew</t>
  </si>
  <si>
    <t>Gerai Kantor</t>
  </si>
  <si>
    <t>Pospay</t>
  </si>
  <si>
    <t>Agro Mandiri</t>
  </si>
  <si>
    <t xml:space="preserve">Lain - Lain </t>
  </si>
  <si>
    <t>B</t>
  </si>
  <si>
    <t xml:space="preserve">BIAYA </t>
  </si>
  <si>
    <t>Mitra SPPG MBG</t>
  </si>
  <si>
    <t xml:space="preserve"> Brilink</t>
  </si>
  <si>
    <t>Beban Usaha Mitra SPPG MBG</t>
  </si>
  <si>
    <t>Beban Usaha BRILINK</t>
  </si>
  <si>
    <t>Beban Usaha Distributor Air Mineral Banew</t>
  </si>
  <si>
    <t>Beban Usaha Pospay</t>
  </si>
  <si>
    <t>Beban Usaha  Gerai Kantor</t>
  </si>
  <si>
    <t>Beban Usaha Agro Mandiri</t>
  </si>
  <si>
    <t>Beban Non Operasional</t>
  </si>
  <si>
    <t xml:space="preserve">Beban Operasional </t>
  </si>
  <si>
    <t>C</t>
  </si>
  <si>
    <t>Sisa Hasil Usaha Sebelum Pajak</t>
  </si>
  <si>
    <t xml:space="preserve">Beban Pajak Penghasilan </t>
  </si>
  <si>
    <t xml:space="preserve">Sisa Hasil Usaha Tahun Berjalan </t>
  </si>
  <si>
    <t xml:space="preserve">Total Pendapatan </t>
  </si>
  <si>
    <t>Total Beban / Biaya</t>
  </si>
  <si>
    <t>PERHITUNGAN LABA RUGI</t>
  </si>
  <si>
    <t>Tgl 03 Juli 2026</t>
  </si>
  <si>
    <t>Tgl 03 Juli 2028</t>
  </si>
  <si>
    <t>Belanja Botol Lee Mineral</t>
  </si>
  <si>
    <t>Belanja Media Tanam</t>
  </si>
  <si>
    <t>Belanja Media Tanam / PKK Dusun Karasan</t>
  </si>
  <si>
    <t>Laba : 12000</t>
  </si>
  <si>
    <t>Laba : 10000</t>
  </si>
  <si>
    <t>Laba : 34000</t>
  </si>
  <si>
    <t>Bulan Maret</t>
  </si>
  <si>
    <t xml:space="preserve">Bulan April </t>
  </si>
  <si>
    <t>Pengiriman Paket</t>
  </si>
  <si>
    <t>Laba : 33000</t>
  </si>
  <si>
    <t xml:space="preserve">Bulan Juni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</si>
</sst>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vertical="center"/>
    </xf>
    <xf numFmtId="1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3" fontId="1" fillId="0" borderId="1" xfId="3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43" fontId="0" fillId="0" borderId="1" xfId="3" applyFont="1" applyBorder="1"/>
    <xf numFmtId="43" fontId="0" fillId="0" borderId="0" xfId="0" applyNumberFormat="1"/>
    <xf numFmtId="44" fontId="1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44" fontId="5" fillId="3" borderId="1" xfId="0" applyNumberFormat="1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center" vertical="center"/>
    </xf>
    <xf numFmtId="44" fontId="0" fillId="0" borderId="0" xfId="0" applyNumberFormat="1"/>
    <xf numFmtId="44" fontId="0" fillId="5" borderId="1" xfId="0" applyNumberFormat="1" applyFill="1" applyBorder="1"/>
    <xf numFmtId="43" fontId="1" fillId="3" borderId="1" xfId="3" applyFont="1" applyFill="1" applyBorder="1" applyAlignment="1">
      <alignment horizontal="center" vertical="center"/>
    </xf>
    <xf numFmtId="44" fontId="4" fillId="3" borderId="1" xfId="3" applyNumberFormat="1" applyFont="1" applyFill="1" applyBorder="1" applyAlignment="1">
      <alignment horizontal="center" vertical="center"/>
    </xf>
    <xf numFmtId="44" fontId="6" fillId="0" borderId="1" xfId="0" applyNumberFormat="1" applyFont="1" applyBorder="1" applyAlignment="1">
      <alignment vertical="center"/>
    </xf>
    <xf numFmtId="42" fontId="6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44" fontId="1" fillId="0" borderId="0" xfId="0" applyNumberFormat="1" applyFont="1"/>
    <xf numFmtId="44" fontId="1" fillId="2" borderId="1" xfId="0" applyNumberFormat="1" applyFont="1" applyFill="1" applyBorder="1"/>
    <xf numFmtId="44" fontId="1" fillId="4" borderId="2" xfId="0" applyNumberFormat="1" applyFont="1" applyFill="1" applyBorder="1"/>
    <xf numFmtId="0" fontId="1" fillId="6" borderId="0" xfId="0" applyFont="1" applyFill="1" applyAlignment="1">
      <alignment horizontal="center" vertical="center"/>
    </xf>
    <xf numFmtId="44" fontId="1" fillId="6" borderId="0" xfId="0" applyNumberFormat="1" applyFont="1" applyFill="1"/>
    <xf numFmtId="44" fontId="1" fillId="0" borderId="1" xfId="3" applyNumberFormat="1" applyFont="1" applyBorder="1" applyAlignment="1">
      <alignment horizontal="center" vertical="center"/>
    </xf>
    <xf numFmtId="44" fontId="1" fillId="4" borderId="1" xfId="3" applyNumberFormat="1" applyFont="1" applyFill="1" applyBorder="1" applyAlignment="1">
      <alignment horizontal="center" vertical="center"/>
    </xf>
    <xf numFmtId="44" fontId="1" fillId="5" borderId="1" xfId="3" applyNumberFormat="1" applyFont="1" applyFill="1" applyBorder="1" applyAlignment="1">
      <alignment horizontal="center" vertical="center"/>
    </xf>
    <xf numFmtId="44" fontId="3" fillId="4" borderId="1" xfId="3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4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vertical="center"/>
    </xf>
    <xf numFmtId="43" fontId="0" fillId="0" borderId="0" xfId="3" applyFont="1"/>
    <xf numFmtId="43" fontId="0" fillId="4" borderId="1" xfId="3" applyFont="1" applyFill="1" applyBorder="1" applyAlignment="1">
      <alignment vertical="center"/>
    </xf>
    <xf numFmtId="0" fontId="1" fillId="6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4">
    <cellStyle name="Koma" xfId="3" builtinId="3"/>
    <cellStyle name="Koma [0] 2" xfId="2" xr:uid="{96FEFAA0-5DA9-49AB-8C34-C8FEBAADAD32}"/>
    <cellStyle name="Mata Uang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1f7261dde601367/Dokumen/BA_2026/Laporan%20BA/KDMP%20Palbapang/Laporan%20Buku%20Kas%20Operasional%20KDMP%20Palbapang_Tahun%202026.xlsx" TargetMode="External"/><Relationship Id="rId1" Type="http://schemas.openxmlformats.org/officeDocument/2006/relationships/externalLinkPath" Target="Laporan%20Buku%20Kas%20Operasional%20KDMP%20Palbapang_Tahun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1f7261dde601367/Dokumen/BA_2026/Laporan%20BA/KDMP%20Palbapang/1.%20Lapaoran%20Buku%20Bank%20KDMP%20Palbapang_Tahun%202026.xlsx" TargetMode="External"/><Relationship Id="rId1" Type="http://schemas.openxmlformats.org/officeDocument/2006/relationships/externalLinkPath" Target="1.%20Lapaoran%20Buku%20Bank%20KDMP%20Palbapang_Tahun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1f7261dde601367/Dokumen/BA_2026/Laporan%20BA/KDMP%20Palbapang/Laporan%20Buku%20Kas%20Umum%20KDMP%20Palbapang_Tahun%202026.xlsx" TargetMode="External"/><Relationship Id="rId1" Type="http://schemas.openxmlformats.org/officeDocument/2006/relationships/externalLinkPath" Target="Laporan%20Buku%20Kas%20Umum%20KDMP%20Palbapang_Tahu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i"/>
      <sheetName val="Pebruari"/>
      <sheetName val="Maret"/>
      <sheetName val="April"/>
      <sheetName val="Mei"/>
      <sheetName val="Juni "/>
      <sheetName val="Juli"/>
      <sheetName val="Agustus"/>
      <sheetName val="September"/>
      <sheetName val="Oktober "/>
      <sheetName val="Nopember "/>
      <sheetName val="Desember"/>
    </sheetNames>
    <sheetDataSet>
      <sheetData sheetId="0"/>
      <sheetData sheetId="1"/>
      <sheetData sheetId="2"/>
      <sheetData sheetId="3"/>
      <sheetData sheetId="4"/>
      <sheetData sheetId="5">
        <row r="12">
          <cell r="I12">
            <v>1010375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i"/>
      <sheetName val="Pebruari"/>
      <sheetName val="Maret"/>
      <sheetName val="April"/>
      <sheetName val="Mei"/>
      <sheetName val="Juni "/>
      <sheetName val="Juli"/>
      <sheetName val="Agustus"/>
      <sheetName val="September"/>
      <sheetName val="Oktober "/>
      <sheetName val="Nopember "/>
      <sheetName val="Desember"/>
    </sheetNames>
    <sheetDataSet>
      <sheetData sheetId="0" refreshError="1"/>
      <sheetData sheetId="1" refreshError="1"/>
      <sheetData sheetId="2" refreshError="1"/>
      <sheetData sheetId="3">
        <row r="7">
          <cell r="E7">
            <v>5000</v>
          </cell>
        </row>
        <row r="8">
          <cell r="F8">
            <v>2500</v>
          </cell>
        </row>
        <row r="11">
          <cell r="E11">
            <v>3000</v>
          </cell>
        </row>
        <row r="12">
          <cell r="F12">
            <v>1222.5</v>
          </cell>
        </row>
        <row r="16">
          <cell r="E16">
            <v>2000</v>
          </cell>
        </row>
        <row r="18">
          <cell r="F18">
            <v>475</v>
          </cell>
        </row>
      </sheetData>
      <sheetData sheetId="4">
        <row r="6">
          <cell r="E6">
            <v>115000</v>
          </cell>
        </row>
        <row r="8">
          <cell r="E8">
            <v>50000</v>
          </cell>
        </row>
        <row r="14">
          <cell r="E14">
            <v>50000</v>
          </cell>
        </row>
        <row r="19">
          <cell r="E19">
            <v>100000</v>
          </cell>
        </row>
      </sheetData>
      <sheetData sheetId="5">
        <row r="11">
          <cell r="E11">
            <v>200000</v>
          </cell>
        </row>
        <row r="12">
          <cell r="E12">
            <v>5000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i"/>
      <sheetName val="Pebruari"/>
      <sheetName val="Maret"/>
      <sheetName val="April"/>
      <sheetName val="Mei"/>
      <sheetName val="Juni "/>
      <sheetName val="Juli"/>
      <sheetName val="Agustus"/>
      <sheetName val="September"/>
      <sheetName val="Oktober "/>
      <sheetName val="Nopember "/>
      <sheetName val="Desember"/>
    </sheetNames>
    <sheetDataSet>
      <sheetData sheetId="0"/>
      <sheetData sheetId="1">
        <row r="6">
          <cell r="F6">
            <v>36000</v>
          </cell>
        </row>
        <row r="11">
          <cell r="F11">
            <v>63000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tabSelected="1" topLeftCell="A5" zoomScale="71" zoomScaleNormal="71" workbookViewId="0">
      <selection activeCell="D13" sqref="D13"/>
    </sheetView>
  </sheetViews>
  <sheetFormatPr defaultRowHeight="14.5" x14ac:dyDescent="0.35"/>
  <cols>
    <col min="1" max="1" width="8.7265625" style="7"/>
    <col min="2" max="2" width="20.26953125" customWidth="1"/>
    <col min="3" max="3" width="24.453125" customWidth="1"/>
    <col min="4" max="4" width="22.54296875" customWidth="1"/>
    <col min="5" max="5" width="23.36328125" customWidth="1"/>
    <col min="6" max="7" width="18.6328125" customWidth="1"/>
    <col min="8" max="8" width="17.81640625" customWidth="1"/>
  </cols>
  <sheetData>
    <row r="1" spans="1:8" ht="18" x14ac:dyDescent="0.4">
      <c r="B1" s="45" t="s">
        <v>3</v>
      </c>
      <c r="C1" s="45"/>
      <c r="D1" s="45"/>
      <c r="E1" s="45"/>
      <c r="F1" s="45"/>
      <c r="G1" s="45"/>
      <c r="H1" s="45"/>
    </row>
    <row r="2" spans="1:8" ht="18" x14ac:dyDescent="0.4">
      <c r="B2" s="45" t="s">
        <v>7</v>
      </c>
      <c r="C2" s="45"/>
      <c r="D2" s="45"/>
      <c r="E2" s="45"/>
      <c r="F2" s="45"/>
      <c r="G2" s="45"/>
      <c r="H2" s="45"/>
    </row>
    <row r="3" spans="1:8" ht="18" x14ac:dyDescent="0.4">
      <c r="B3" s="46">
        <v>46203</v>
      </c>
      <c r="C3" s="45"/>
      <c r="D3" s="45"/>
      <c r="E3" s="45"/>
      <c r="F3" s="45"/>
      <c r="G3" s="45"/>
      <c r="H3" s="45"/>
    </row>
    <row r="4" spans="1:8" x14ac:dyDescent="0.35">
      <c r="B4" s="47"/>
      <c r="C4" s="47"/>
      <c r="D4" s="47"/>
      <c r="E4" s="47"/>
      <c r="F4" s="47"/>
      <c r="G4" s="47"/>
      <c r="H4" s="47"/>
    </row>
    <row r="5" spans="1:8" ht="36" customHeight="1" x14ac:dyDescent="0.35">
      <c r="A5" s="4" t="s">
        <v>8</v>
      </c>
      <c r="B5" s="4" t="s">
        <v>0</v>
      </c>
      <c r="C5" s="4" t="s">
        <v>1</v>
      </c>
      <c r="D5" s="4" t="s">
        <v>4</v>
      </c>
      <c r="E5" s="4" t="s">
        <v>5</v>
      </c>
      <c r="F5" s="4" t="s">
        <v>6</v>
      </c>
      <c r="G5" s="4" t="s">
        <v>17</v>
      </c>
      <c r="H5" s="4" t="s">
        <v>2</v>
      </c>
    </row>
    <row r="6" spans="1:8" ht="30" customHeight="1" x14ac:dyDescent="0.35">
      <c r="A6" s="8">
        <v>1</v>
      </c>
      <c r="B6" s="6">
        <v>46098</v>
      </c>
      <c r="C6" s="9" t="s">
        <v>16</v>
      </c>
      <c r="D6" s="31">
        <v>5000</v>
      </c>
      <c r="E6" s="31"/>
      <c r="F6" s="31">
        <f>D6-E6</f>
        <v>5000</v>
      </c>
      <c r="G6" s="31"/>
      <c r="H6" s="3"/>
    </row>
    <row r="7" spans="1:8" ht="30" customHeight="1" x14ac:dyDescent="0.35">
      <c r="A7" s="8"/>
      <c r="B7" s="2"/>
      <c r="C7" s="9" t="s">
        <v>18</v>
      </c>
      <c r="D7" s="31">
        <v>2000</v>
      </c>
      <c r="E7" s="31"/>
      <c r="F7" s="31">
        <f>F6+D7-E7</f>
        <v>7000</v>
      </c>
      <c r="G7" s="31">
        <v>455</v>
      </c>
      <c r="H7" s="3"/>
    </row>
    <row r="8" spans="1:8" ht="30" customHeight="1" x14ac:dyDescent="0.35">
      <c r="A8" s="8">
        <v>2</v>
      </c>
      <c r="B8" s="6">
        <v>46116</v>
      </c>
      <c r="C8" s="9" t="s">
        <v>19</v>
      </c>
      <c r="D8" s="31">
        <v>115000</v>
      </c>
      <c r="E8" s="31"/>
      <c r="F8" s="31">
        <f t="shared" ref="F8:F18" si="0">F7+D8-E8</f>
        <v>122000</v>
      </c>
      <c r="G8" s="31"/>
      <c r="H8" s="3"/>
    </row>
    <row r="9" spans="1:8" ht="30" customHeight="1" x14ac:dyDescent="0.35">
      <c r="A9" s="8"/>
      <c r="B9" s="2"/>
      <c r="C9" s="9" t="s">
        <v>18</v>
      </c>
      <c r="D9" s="31">
        <v>5000</v>
      </c>
      <c r="E9" s="31"/>
      <c r="F9" s="31">
        <f t="shared" si="0"/>
        <v>127000</v>
      </c>
      <c r="G9" s="31">
        <v>2500</v>
      </c>
      <c r="H9" s="3"/>
    </row>
    <row r="10" spans="1:8" ht="30" customHeight="1" x14ac:dyDescent="0.35">
      <c r="A10" s="8"/>
      <c r="B10" s="2"/>
      <c r="C10" s="9" t="s">
        <v>27</v>
      </c>
      <c r="D10" s="31">
        <v>100000</v>
      </c>
      <c r="E10" s="31"/>
      <c r="F10" s="31">
        <f t="shared" si="0"/>
        <v>227000</v>
      </c>
      <c r="G10" s="31"/>
      <c r="H10" s="3"/>
    </row>
    <row r="11" spans="1:8" ht="30" customHeight="1" x14ac:dyDescent="0.35">
      <c r="A11" s="8"/>
      <c r="B11" s="2"/>
      <c r="C11" s="9" t="s">
        <v>18</v>
      </c>
      <c r="D11" s="31">
        <v>3000</v>
      </c>
      <c r="E11" s="31"/>
      <c r="F11" s="31">
        <f t="shared" si="0"/>
        <v>230000</v>
      </c>
      <c r="G11" s="31">
        <v>1222</v>
      </c>
      <c r="H11" s="3"/>
    </row>
    <row r="12" spans="1:8" ht="30" customHeight="1" x14ac:dyDescent="0.35">
      <c r="A12" s="8">
        <v>3</v>
      </c>
      <c r="B12" s="6">
        <v>46133</v>
      </c>
      <c r="C12" s="9" t="s">
        <v>20</v>
      </c>
      <c r="D12" s="31">
        <v>10000</v>
      </c>
      <c r="E12" s="31"/>
      <c r="F12" s="31">
        <f t="shared" si="0"/>
        <v>240000</v>
      </c>
      <c r="G12" s="31"/>
      <c r="H12" s="3"/>
    </row>
    <row r="13" spans="1:8" ht="30" customHeight="1" x14ac:dyDescent="0.35">
      <c r="A13" s="8"/>
      <c r="B13" s="2"/>
      <c r="C13" s="9" t="s">
        <v>18</v>
      </c>
      <c r="D13" s="31">
        <v>2000</v>
      </c>
      <c r="E13" s="31"/>
      <c r="F13" s="31">
        <f t="shared" si="0"/>
        <v>242000</v>
      </c>
      <c r="G13" s="31">
        <v>475</v>
      </c>
      <c r="H13" s="3"/>
    </row>
    <row r="14" spans="1:8" ht="30" customHeight="1" x14ac:dyDescent="0.35">
      <c r="A14" s="8">
        <v>4</v>
      </c>
      <c r="B14" s="2" t="s">
        <v>24</v>
      </c>
      <c r="C14" s="14" t="s">
        <v>27</v>
      </c>
      <c r="D14" s="14">
        <f>[2]Mei!$E$6+[2]Mei!$E$8+[2]Mei!$E$14+[2]Mei!$E$19</f>
        <v>315000</v>
      </c>
      <c r="E14" s="31"/>
      <c r="F14" s="31">
        <f t="shared" si="0"/>
        <v>557000</v>
      </c>
      <c r="G14" s="31"/>
      <c r="H14" s="3"/>
    </row>
    <row r="15" spans="1:8" ht="30" customHeight="1" x14ac:dyDescent="0.35">
      <c r="A15" s="8"/>
      <c r="B15" s="2"/>
      <c r="C15" s="9" t="s">
        <v>18</v>
      </c>
      <c r="D15" s="31">
        <f>[2]April!$E$7+[2]April!$E$11+[2]April!$E$16</f>
        <v>10000</v>
      </c>
      <c r="E15" s="31"/>
      <c r="F15" s="31">
        <f t="shared" si="0"/>
        <v>567000</v>
      </c>
      <c r="G15" s="31">
        <f>[2]April!$F$8+[2]April!$F$12+[2]April!$F$18</f>
        <v>4197.5</v>
      </c>
      <c r="H15" s="3"/>
    </row>
    <row r="16" spans="1:8" ht="30" customHeight="1" x14ac:dyDescent="0.35">
      <c r="A16" s="8">
        <v>5</v>
      </c>
      <c r="B16" s="2" t="s">
        <v>25</v>
      </c>
      <c r="C16" s="9" t="s">
        <v>27</v>
      </c>
      <c r="D16" s="31">
        <f>'[2]Juni '!$E$11+'[2]Juni '!$E$12 +750000</f>
        <v>955000</v>
      </c>
      <c r="E16" s="31"/>
      <c r="F16" s="31">
        <f t="shared" si="0"/>
        <v>1522000</v>
      </c>
      <c r="G16" s="31"/>
      <c r="H16" s="3"/>
    </row>
    <row r="17" spans="1:8" ht="30" customHeight="1" x14ac:dyDescent="0.35">
      <c r="A17" s="8"/>
      <c r="B17" s="2"/>
      <c r="C17" s="9" t="s">
        <v>18</v>
      </c>
      <c r="D17" s="31">
        <f>'[2]Juni '!$E$12+5000</f>
        <v>10000</v>
      </c>
      <c r="E17" s="31"/>
      <c r="F17" s="31">
        <f t="shared" si="0"/>
        <v>1532000</v>
      </c>
      <c r="G17" s="31">
        <v>5000</v>
      </c>
      <c r="H17" s="3"/>
    </row>
    <row r="18" spans="1:8" ht="30" customHeight="1" x14ac:dyDescent="0.35">
      <c r="A18" s="8"/>
      <c r="B18" s="2"/>
      <c r="C18" s="9"/>
      <c r="D18" s="31"/>
      <c r="E18" s="31"/>
      <c r="F18" s="32">
        <f t="shared" si="0"/>
        <v>1532000</v>
      </c>
      <c r="G18" s="33">
        <f>SUM(G6:G17)</f>
        <v>13849.5</v>
      </c>
      <c r="H18" s="3"/>
    </row>
    <row r="19" spans="1:8" ht="15.5" x14ac:dyDescent="0.35">
      <c r="B19" s="1"/>
      <c r="C19" s="1"/>
      <c r="D19" s="1"/>
      <c r="E19" s="1"/>
      <c r="F19" s="1"/>
      <c r="G19" s="1"/>
    </row>
    <row r="20" spans="1:8" ht="15.5" x14ac:dyDescent="0.35">
      <c r="B20" s="1"/>
      <c r="C20" s="1"/>
      <c r="D20" s="1"/>
      <c r="E20" s="44" t="s">
        <v>9</v>
      </c>
      <c r="F20" s="44"/>
      <c r="G20" s="44"/>
      <c r="H20" s="44"/>
    </row>
    <row r="21" spans="1:8" ht="15.5" x14ac:dyDescent="0.35">
      <c r="B21" s="1"/>
      <c r="C21" s="1"/>
      <c r="D21" s="1"/>
      <c r="E21" s="44" t="s">
        <v>10</v>
      </c>
      <c r="F21" s="44"/>
      <c r="G21" s="44"/>
      <c r="H21" s="44"/>
    </row>
    <row r="22" spans="1:8" ht="15.5" x14ac:dyDescent="0.35">
      <c r="B22" s="1"/>
      <c r="C22" s="1"/>
      <c r="D22" s="1"/>
      <c r="E22" s="44"/>
      <c r="F22" s="44"/>
      <c r="G22" s="44"/>
      <c r="H22" s="44"/>
    </row>
    <row r="23" spans="1:8" ht="15.5" x14ac:dyDescent="0.35">
      <c r="B23" s="1"/>
      <c r="C23" s="1"/>
      <c r="D23" s="1"/>
      <c r="E23" s="44"/>
      <c r="F23" s="44"/>
      <c r="G23" s="44"/>
      <c r="H23" s="44"/>
    </row>
    <row r="24" spans="1:8" ht="15.5" x14ac:dyDescent="0.35">
      <c r="B24" s="1"/>
      <c r="C24" s="1"/>
      <c r="D24" s="1"/>
      <c r="E24" s="44"/>
      <c r="F24" s="44"/>
      <c r="G24" s="44"/>
      <c r="H24" s="44"/>
    </row>
    <row r="25" spans="1:8" ht="15.5" x14ac:dyDescent="0.35">
      <c r="B25" s="1"/>
      <c r="C25" s="1"/>
      <c r="D25" s="1"/>
      <c r="E25" s="44" t="s">
        <v>11</v>
      </c>
      <c r="F25" s="44"/>
      <c r="G25" s="44"/>
      <c r="H25" s="44"/>
    </row>
  </sheetData>
  <mergeCells count="10">
    <mergeCell ref="E22:H22"/>
    <mergeCell ref="E23:H23"/>
    <mergeCell ref="E24:H24"/>
    <mergeCell ref="E25:H25"/>
    <mergeCell ref="B1:H1"/>
    <mergeCell ref="B2:H2"/>
    <mergeCell ref="B3:H3"/>
    <mergeCell ref="B4:H4"/>
    <mergeCell ref="E20:H20"/>
    <mergeCell ref="E21:H21"/>
  </mergeCells>
  <pageMargins left="0.75" right="0.75" top="1" bottom="1" header="0.5" footer="0.5"/>
  <pageSetup paperSize="5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EFE0-1AF9-4E39-8701-BC1F75FDF81E}">
  <sheetPr>
    <pageSetUpPr fitToPage="1"/>
  </sheetPr>
  <dimension ref="A1:I24"/>
  <sheetViews>
    <sheetView zoomScale="64" zoomScaleNormal="64" workbookViewId="0">
      <selection activeCell="F18" sqref="F18"/>
    </sheetView>
  </sheetViews>
  <sheetFormatPr defaultRowHeight="14.5" x14ac:dyDescent="0.35"/>
  <cols>
    <col min="1" max="1" width="8.7265625" style="7"/>
    <col min="2" max="2" width="20.26953125" customWidth="1"/>
    <col min="3" max="3" width="24.453125" customWidth="1"/>
    <col min="4" max="4" width="22.54296875" customWidth="1"/>
    <col min="5" max="5" width="23.36328125" customWidth="1"/>
    <col min="6" max="6" width="18.6328125" customWidth="1"/>
    <col min="7" max="7" width="17.81640625" style="37" customWidth="1"/>
    <col min="8" max="8" width="17.26953125" style="39" customWidth="1"/>
    <col min="9" max="9" width="12.54296875" customWidth="1"/>
  </cols>
  <sheetData>
    <row r="1" spans="1:9" ht="18" x14ac:dyDescent="0.4">
      <c r="B1" s="45" t="s">
        <v>3</v>
      </c>
      <c r="C1" s="45"/>
      <c r="D1" s="45"/>
      <c r="E1" s="45"/>
      <c r="F1" s="45"/>
      <c r="G1" s="45"/>
    </row>
    <row r="2" spans="1:9" ht="18" x14ac:dyDescent="0.4">
      <c r="B2" s="45" t="s">
        <v>12</v>
      </c>
      <c r="C2" s="45"/>
      <c r="D2" s="45"/>
      <c r="E2" s="45"/>
      <c r="F2" s="45"/>
      <c r="G2" s="45"/>
    </row>
    <row r="3" spans="1:9" ht="18" x14ac:dyDescent="0.4">
      <c r="B3" s="46">
        <v>46203</v>
      </c>
      <c r="C3" s="45"/>
      <c r="D3" s="45"/>
      <c r="E3" s="45"/>
      <c r="F3" s="45"/>
      <c r="G3" s="45"/>
    </row>
    <row r="4" spans="1:9" ht="36" customHeight="1" x14ac:dyDescent="0.35">
      <c r="A4" s="4" t="s">
        <v>8</v>
      </c>
      <c r="B4" s="4" t="s">
        <v>0</v>
      </c>
      <c r="C4" s="4" t="s">
        <v>1</v>
      </c>
      <c r="D4" s="4" t="s">
        <v>4</v>
      </c>
      <c r="E4" s="4" t="s">
        <v>5</v>
      </c>
      <c r="F4" s="4" t="s">
        <v>6</v>
      </c>
      <c r="G4" s="38" t="s">
        <v>2</v>
      </c>
    </row>
    <row r="5" spans="1:9" ht="30" customHeight="1" x14ac:dyDescent="0.35">
      <c r="A5" s="8">
        <v>1</v>
      </c>
      <c r="B5" s="2" t="s">
        <v>28</v>
      </c>
      <c r="C5" s="2" t="s">
        <v>29</v>
      </c>
      <c r="D5" s="31">
        <v>135400</v>
      </c>
      <c r="E5" s="31"/>
      <c r="F5" s="31">
        <f>D5-E5</f>
        <v>135400</v>
      </c>
      <c r="G5" s="36"/>
    </row>
    <row r="6" spans="1:9" ht="30" customHeight="1" x14ac:dyDescent="0.35">
      <c r="A6" s="8">
        <v>2</v>
      </c>
      <c r="B6" s="2" t="s">
        <v>33</v>
      </c>
      <c r="C6" s="2" t="s">
        <v>30</v>
      </c>
      <c r="D6" s="31">
        <v>500000</v>
      </c>
      <c r="E6" s="31"/>
      <c r="F6" s="31">
        <f>F5+D6-E6</f>
        <v>635400</v>
      </c>
      <c r="G6" s="36"/>
    </row>
    <row r="7" spans="1:9" ht="30" customHeight="1" x14ac:dyDescent="0.35">
      <c r="A7" s="8">
        <v>3</v>
      </c>
      <c r="B7" s="2" t="s">
        <v>33</v>
      </c>
      <c r="C7" s="2" t="s">
        <v>31</v>
      </c>
      <c r="D7" s="31"/>
      <c r="E7" s="31">
        <v>400000</v>
      </c>
      <c r="F7" s="31">
        <f t="shared" ref="F7:F16" si="0">F6+D7-E7</f>
        <v>235400</v>
      </c>
      <c r="G7" s="36"/>
    </row>
    <row r="8" spans="1:9" ht="30" customHeight="1" x14ac:dyDescent="0.35">
      <c r="A8" s="8">
        <v>4</v>
      </c>
      <c r="B8" s="2"/>
      <c r="C8" s="2" t="s">
        <v>32</v>
      </c>
      <c r="D8" s="31">
        <v>72000</v>
      </c>
      <c r="E8" s="31"/>
      <c r="F8" s="31">
        <f t="shared" si="0"/>
        <v>307400</v>
      </c>
      <c r="G8" s="36" t="s">
        <v>82</v>
      </c>
      <c r="H8" s="39">
        <v>12000</v>
      </c>
      <c r="I8">
        <v>6</v>
      </c>
    </row>
    <row r="9" spans="1:9" ht="30" customHeight="1" x14ac:dyDescent="0.35">
      <c r="A9" s="8">
        <v>5</v>
      </c>
      <c r="B9" s="2" t="s">
        <v>34</v>
      </c>
      <c r="C9" s="2" t="s">
        <v>32</v>
      </c>
      <c r="D9" s="31">
        <v>110000</v>
      </c>
      <c r="E9" s="31"/>
      <c r="F9" s="31">
        <f t="shared" si="0"/>
        <v>417400</v>
      </c>
      <c r="G9" s="36" t="s">
        <v>83</v>
      </c>
      <c r="H9" s="39">
        <v>10000</v>
      </c>
      <c r="I9">
        <v>10</v>
      </c>
    </row>
    <row r="10" spans="1:9" ht="30" customHeight="1" x14ac:dyDescent="0.35">
      <c r="A10" s="8">
        <v>6</v>
      </c>
      <c r="B10" s="2" t="s">
        <v>85</v>
      </c>
      <c r="C10" s="2" t="s">
        <v>32</v>
      </c>
      <c r="D10" s="31">
        <v>204000</v>
      </c>
      <c r="E10" s="31"/>
      <c r="F10" s="31">
        <f t="shared" si="0"/>
        <v>621400</v>
      </c>
      <c r="G10" s="36" t="s">
        <v>84</v>
      </c>
      <c r="H10" s="39">
        <v>34000</v>
      </c>
      <c r="I10">
        <v>34</v>
      </c>
    </row>
    <row r="11" spans="1:9" ht="30" customHeight="1" x14ac:dyDescent="0.35">
      <c r="A11" s="8"/>
      <c r="B11" s="2"/>
      <c r="C11" s="2" t="s">
        <v>31</v>
      </c>
      <c r="D11" s="31"/>
      <c r="E11" s="31">
        <v>400000</v>
      </c>
      <c r="F11" s="31">
        <f t="shared" si="0"/>
        <v>221400</v>
      </c>
      <c r="G11" s="36"/>
    </row>
    <row r="12" spans="1:9" ht="30" customHeight="1" x14ac:dyDescent="0.35">
      <c r="A12" s="8">
        <v>7</v>
      </c>
      <c r="B12" s="2" t="s">
        <v>86</v>
      </c>
      <c r="C12" s="2" t="s">
        <v>32</v>
      </c>
      <c r="D12" s="31">
        <v>254000</v>
      </c>
      <c r="E12" s="31"/>
      <c r="F12" s="31">
        <f t="shared" si="0"/>
        <v>475400</v>
      </c>
      <c r="G12" s="36" t="s">
        <v>84</v>
      </c>
      <c r="H12" s="39">
        <v>34000</v>
      </c>
      <c r="I12">
        <v>34</v>
      </c>
    </row>
    <row r="13" spans="1:9" ht="30" customHeight="1" x14ac:dyDescent="0.35">
      <c r="A13" s="8">
        <v>8</v>
      </c>
      <c r="B13" s="2"/>
      <c r="C13" s="2" t="s">
        <v>87</v>
      </c>
      <c r="D13" s="31">
        <v>50000</v>
      </c>
      <c r="E13" s="31"/>
      <c r="F13" s="31">
        <f t="shared" si="0"/>
        <v>525400</v>
      </c>
      <c r="G13" s="36"/>
    </row>
    <row r="14" spans="1:9" ht="30" customHeight="1" x14ac:dyDescent="0.35">
      <c r="A14" s="8"/>
      <c r="B14" s="2"/>
      <c r="C14" s="2" t="s">
        <v>31</v>
      </c>
      <c r="D14" s="31"/>
      <c r="E14" s="31">
        <v>400000</v>
      </c>
      <c r="F14" s="31">
        <f t="shared" si="0"/>
        <v>125400</v>
      </c>
      <c r="G14" s="36"/>
    </row>
    <row r="15" spans="1:9" ht="30" customHeight="1" x14ac:dyDescent="0.35">
      <c r="A15" s="8">
        <v>9</v>
      </c>
      <c r="B15" s="2" t="s">
        <v>24</v>
      </c>
      <c r="C15" s="2" t="s">
        <v>32</v>
      </c>
      <c r="D15" s="31">
        <v>223000</v>
      </c>
      <c r="E15" s="31"/>
      <c r="F15" s="31">
        <f t="shared" si="0"/>
        <v>348400</v>
      </c>
      <c r="G15" s="36" t="s">
        <v>88</v>
      </c>
      <c r="H15" s="39">
        <v>33000</v>
      </c>
      <c r="I15">
        <v>33</v>
      </c>
    </row>
    <row r="16" spans="1:9" ht="30" customHeight="1" x14ac:dyDescent="0.35">
      <c r="A16" s="8">
        <v>10</v>
      </c>
      <c r="B16" s="2" t="s">
        <v>89</v>
      </c>
      <c r="C16" s="2" t="s">
        <v>32</v>
      </c>
      <c r="D16" s="31">
        <v>257000</v>
      </c>
      <c r="E16" s="31"/>
      <c r="F16" s="31">
        <f t="shared" si="0"/>
        <v>605400</v>
      </c>
      <c r="G16" s="36"/>
      <c r="H16" s="40">
        <f>SUM(H8:H15)</f>
        <v>123000</v>
      </c>
      <c r="I16" s="37">
        <f>SUM(I8:I15)</f>
        <v>117</v>
      </c>
    </row>
    <row r="17" spans="1:7" ht="30" customHeight="1" x14ac:dyDescent="0.35">
      <c r="A17" s="8">
        <v>12</v>
      </c>
      <c r="B17" s="2"/>
      <c r="C17" s="2"/>
      <c r="D17" s="31"/>
      <c r="E17" s="31"/>
      <c r="F17" s="31">
        <f>F16</f>
        <v>605400</v>
      </c>
      <c r="G17" s="36"/>
    </row>
    <row r="18" spans="1:7" ht="15.5" x14ac:dyDescent="0.35">
      <c r="B18" s="1"/>
      <c r="C18" s="1"/>
      <c r="D18" s="1"/>
      <c r="E18" s="1"/>
      <c r="F18" s="1"/>
    </row>
    <row r="19" spans="1:7" ht="15.5" x14ac:dyDescent="0.35">
      <c r="B19" s="1"/>
      <c r="C19" s="1"/>
      <c r="D19" s="1"/>
      <c r="E19" s="44" t="s">
        <v>9</v>
      </c>
      <c r="F19" s="44"/>
      <c r="G19" s="44"/>
    </row>
    <row r="20" spans="1:7" ht="15.5" x14ac:dyDescent="0.35">
      <c r="B20" s="1"/>
      <c r="C20" s="1"/>
      <c r="D20" s="1"/>
      <c r="E20" s="44" t="s">
        <v>10</v>
      </c>
      <c r="F20" s="44"/>
      <c r="G20" s="44"/>
    </row>
    <row r="21" spans="1:7" ht="15.5" x14ac:dyDescent="0.35">
      <c r="B21" s="1"/>
      <c r="C21" s="1"/>
      <c r="D21" s="1"/>
      <c r="E21" s="44"/>
      <c r="F21" s="44"/>
      <c r="G21" s="44"/>
    </row>
    <row r="22" spans="1:7" ht="15.5" x14ac:dyDescent="0.35">
      <c r="B22" s="1"/>
      <c r="C22" s="1"/>
      <c r="D22" s="1"/>
      <c r="E22" s="44"/>
      <c r="F22" s="44"/>
      <c r="G22" s="44"/>
    </row>
    <row r="23" spans="1:7" ht="15.5" x14ac:dyDescent="0.35">
      <c r="B23" s="1"/>
      <c r="C23" s="1"/>
      <c r="D23" s="1"/>
      <c r="E23" s="44"/>
      <c r="F23" s="44"/>
      <c r="G23" s="44"/>
    </row>
    <row r="24" spans="1:7" ht="15.5" x14ac:dyDescent="0.35">
      <c r="B24" s="1"/>
      <c r="C24" s="1"/>
      <c r="D24" s="1"/>
      <c r="E24" s="44" t="s">
        <v>11</v>
      </c>
      <c r="F24" s="44"/>
      <c r="G24" s="44"/>
    </row>
  </sheetData>
  <autoFilter ref="A4:G17" xr:uid="{5C1BEFE0-1AF9-4E39-8701-BC1F75FDF81E}"/>
  <mergeCells count="9">
    <mergeCell ref="E21:G21"/>
    <mergeCell ref="E22:G22"/>
    <mergeCell ref="E23:G23"/>
    <mergeCell ref="E24:G24"/>
    <mergeCell ref="B1:G1"/>
    <mergeCell ref="B2:G2"/>
    <mergeCell ref="B3:G3"/>
    <mergeCell ref="E19:G19"/>
    <mergeCell ref="E20:G20"/>
  </mergeCells>
  <pageMargins left="0.75" right="0.75" top="1" bottom="1" header="0.5" footer="0.5"/>
  <pageSetup paperSize="5"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D1C48-7B57-4433-AC78-DDC541577596}">
  <sheetPr>
    <pageSetUpPr fitToPage="1"/>
  </sheetPr>
  <dimension ref="A1:H63"/>
  <sheetViews>
    <sheetView topLeftCell="A2" workbookViewId="0">
      <selection activeCell="H9" sqref="H9"/>
    </sheetView>
  </sheetViews>
  <sheetFormatPr defaultRowHeight="14.5" x14ac:dyDescent="0.35"/>
  <cols>
    <col min="1" max="1" width="8.7265625" style="7"/>
    <col min="2" max="2" width="20.26953125" customWidth="1"/>
    <col min="3" max="3" width="30" customWidth="1"/>
    <col min="4" max="4" width="22.54296875" customWidth="1"/>
    <col min="5" max="5" width="23.36328125" customWidth="1"/>
    <col min="6" max="6" width="18.6328125" customWidth="1"/>
    <col min="7" max="7" width="17.81640625" customWidth="1"/>
    <col min="8" max="8" width="20.08984375" customWidth="1"/>
  </cols>
  <sheetData>
    <row r="1" spans="1:8" ht="18" x14ac:dyDescent="0.4">
      <c r="B1" s="45" t="s">
        <v>3</v>
      </c>
      <c r="C1" s="45"/>
      <c r="D1" s="45"/>
      <c r="E1" s="45"/>
      <c r="F1" s="45"/>
      <c r="G1" s="45"/>
    </row>
    <row r="2" spans="1:8" ht="18" x14ac:dyDescent="0.4">
      <c r="B2" s="45" t="s">
        <v>13</v>
      </c>
      <c r="C2" s="45"/>
      <c r="D2" s="45"/>
      <c r="E2" s="45"/>
      <c r="F2" s="45"/>
      <c r="G2" s="45"/>
    </row>
    <row r="3" spans="1:8" ht="18" x14ac:dyDescent="0.4">
      <c r="B3" s="46">
        <v>46203</v>
      </c>
      <c r="C3" s="45"/>
      <c r="D3" s="45"/>
      <c r="E3" s="45"/>
      <c r="F3" s="45"/>
      <c r="G3" s="45"/>
    </row>
    <row r="4" spans="1:8" x14ac:dyDescent="0.35">
      <c r="B4" s="47"/>
      <c r="C4" s="47"/>
      <c r="D4" s="47"/>
      <c r="E4" s="47"/>
      <c r="F4" s="47"/>
      <c r="G4" s="47"/>
    </row>
    <row r="5" spans="1:8" ht="36" customHeight="1" x14ac:dyDescent="0.35">
      <c r="A5" s="4" t="s">
        <v>8</v>
      </c>
      <c r="B5" s="4" t="s">
        <v>0</v>
      </c>
      <c r="C5" s="4" t="s">
        <v>1</v>
      </c>
      <c r="D5" s="4" t="s">
        <v>4</v>
      </c>
      <c r="E5" s="4" t="s">
        <v>5</v>
      </c>
      <c r="F5" s="4" t="s">
        <v>6</v>
      </c>
      <c r="G5" s="4" t="s">
        <v>2</v>
      </c>
    </row>
    <row r="6" spans="1:8" ht="30" customHeight="1" x14ac:dyDescent="0.35">
      <c r="A6" s="8">
        <v>1</v>
      </c>
      <c r="B6" s="2" t="s">
        <v>33</v>
      </c>
      <c r="C6" s="9" t="s">
        <v>36</v>
      </c>
      <c r="D6" s="16">
        <v>2477500</v>
      </c>
      <c r="E6" s="16"/>
      <c r="F6" s="16">
        <f>D6-E6</f>
        <v>2477500</v>
      </c>
      <c r="G6" s="3"/>
      <c r="H6" s="22">
        <f>D6+D9</f>
        <v>5042500</v>
      </c>
    </row>
    <row r="7" spans="1:8" ht="30" customHeight="1" x14ac:dyDescent="0.35">
      <c r="A7" s="8">
        <v>2</v>
      </c>
      <c r="B7" s="2"/>
      <c r="C7" s="9" t="s">
        <v>35</v>
      </c>
      <c r="D7" s="16"/>
      <c r="E7" s="16">
        <v>2477500</v>
      </c>
      <c r="F7" s="16">
        <f>F6+D7-E7</f>
        <v>0</v>
      </c>
      <c r="G7" s="3"/>
      <c r="H7" s="23">
        <f>[3]Pebruari!$F$6+[3]Pebruari!$F$11</f>
        <v>99000</v>
      </c>
    </row>
    <row r="8" spans="1:8" ht="30" customHeight="1" x14ac:dyDescent="0.35">
      <c r="A8" s="8">
        <v>3</v>
      </c>
      <c r="B8" s="2" t="s">
        <v>34</v>
      </c>
      <c r="C8" s="9" t="s">
        <v>37</v>
      </c>
      <c r="D8" s="17">
        <v>2338000</v>
      </c>
      <c r="E8" s="17"/>
      <c r="F8" s="16">
        <f t="shared" ref="F8:F16" si="0">F7+D8-E8</f>
        <v>2338000</v>
      </c>
      <c r="G8" s="3"/>
      <c r="H8" s="22">
        <f>H6-H7</f>
        <v>4943500</v>
      </c>
    </row>
    <row r="9" spans="1:8" ht="30" customHeight="1" x14ac:dyDescent="0.35">
      <c r="A9" s="8">
        <v>4</v>
      </c>
      <c r="B9" s="2"/>
      <c r="C9" s="9" t="s">
        <v>38</v>
      </c>
      <c r="D9" s="17">
        <v>2565000</v>
      </c>
      <c r="E9" s="17"/>
      <c r="F9" s="16">
        <f t="shared" si="0"/>
        <v>4903000</v>
      </c>
      <c r="G9" s="3"/>
    </row>
    <row r="10" spans="1:8" ht="30" customHeight="1" x14ac:dyDescent="0.35">
      <c r="A10" s="8">
        <v>5</v>
      </c>
      <c r="B10" s="2"/>
      <c r="C10" s="9" t="s">
        <v>36</v>
      </c>
      <c r="D10" s="17"/>
      <c r="E10" s="17">
        <v>2565000</v>
      </c>
      <c r="F10" s="16">
        <f t="shared" si="0"/>
        <v>2338000</v>
      </c>
      <c r="G10" s="3"/>
    </row>
    <row r="11" spans="1:8" ht="30" customHeight="1" x14ac:dyDescent="0.35">
      <c r="A11" s="8">
        <v>6</v>
      </c>
      <c r="B11" s="2"/>
      <c r="C11" s="9" t="s">
        <v>39</v>
      </c>
      <c r="D11" s="17">
        <v>1553000</v>
      </c>
      <c r="E11" s="17"/>
      <c r="F11" s="16">
        <f t="shared" si="0"/>
        <v>3891000</v>
      </c>
      <c r="G11" s="3"/>
    </row>
    <row r="12" spans="1:8" ht="30" customHeight="1" x14ac:dyDescent="0.35">
      <c r="A12" s="8">
        <v>7</v>
      </c>
      <c r="B12" s="2"/>
      <c r="C12" s="9" t="s">
        <v>40</v>
      </c>
      <c r="D12" s="17"/>
      <c r="E12" s="17">
        <v>2775000</v>
      </c>
      <c r="F12" s="16">
        <f t="shared" si="0"/>
        <v>1116000</v>
      </c>
      <c r="G12" s="3"/>
    </row>
    <row r="13" spans="1:8" ht="30" customHeight="1" x14ac:dyDescent="0.35">
      <c r="A13" s="8">
        <v>8</v>
      </c>
      <c r="B13" s="2"/>
      <c r="C13" s="9" t="s">
        <v>41</v>
      </c>
      <c r="D13" s="17">
        <v>1365000</v>
      </c>
      <c r="E13" s="17"/>
      <c r="F13" s="16">
        <f t="shared" si="0"/>
        <v>2481000</v>
      </c>
      <c r="G13" s="3"/>
    </row>
    <row r="14" spans="1:8" ht="30" customHeight="1" x14ac:dyDescent="0.35">
      <c r="A14" s="8">
        <v>9</v>
      </c>
      <c r="B14" s="2"/>
      <c r="C14" s="9" t="s">
        <v>42</v>
      </c>
      <c r="D14" s="17">
        <v>682500</v>
      </c>
      <c r="E14" s="17"/>
      <c r="F14" s="16">
        <f t="shared" si="0"/>
        <v>3163500</v>
      </c>
      <c r="G14" s="3"/>
    </row>
    <row r="15" spans="1:8" ht="30" customHeight="1" x14ac:dyDescent="0.35">
      <c r="A15" s="8">
        <v>10</v>
      </c>
      <c r="B15" s="2"/>
      <c r="C15" s="9" t="s">
        <v>43</v>
      </c>
      <c r="D15" s="17">
        <v>390000</v>
      </c>
      <c r="E15" s="17"/>
      <c r="F15" s="16">
        <f t="shared" si="0"/>
        <v>3553500</v>
      </c>
      <c r="G15" s="3"/>
    </row>
    <row r="16" spans="1:8" ht="30" customHeight="1" x14ac:dyDescent="0.35">
      <c r="A16" s="8">
        <v>11</v>
      </c>
      <c r="B16" s="2"/>
      <c r="C16" s="9" t="s">
        <v>44</v>
      </c>
      <c r="D16" s="17"/>
      <c r="E16" s="17">
        <v>63000</v>
      </c>
      <c r="F16" s="16">
        <f t="shared" si="0"/>
        <v>3490500</v>
      </c>
      <c r="G16" s="3"/>
    </row>
    <row r="17" spans="1:7" ht="30" customHeight="1" x14ac:dyDescent="0.35">
      <c r="A17" s="8">
        <v>12</v>
      </c>
      <c r="B17" s="2"/>
      <c r="C17" s="9" t="s">
        <v>44</v>
      </c>
      <c r="D17" s="10"/>
      <c r="E17" s="17">
        <v>36000</v>
      </c>
      <c r="F17" s="10">
        <f t="shared" ref="F17:F56" si="1">F16+D17-E17</f>
        <v>3454500</v>
      </c>
      <c r="G17" s="3"/>
    </row>
    <row r="18" spans="1:7" ht="30" customHeight="1" x14ac:dyDescent="0.35">
      <c r="A18" s="8">
        <v>13</v>
      </c>
      <c r="B18" s="2"/>
      <c r="C18" s="2"/>
      <c r="D18" s="10"/>
      <c r="E18" s="10"/>
      <c r="F18" s="10">
        <f t="shared" si="1"/>
        <v>3454500</v>
      </c>
      <c r="G18" s="3"/>
    </row>
    <row r="19" spans="1:7" ht="30" customHeight="1" x14ac:dyDescent="0.35">
      <c r="A19" s="8">
        <v>14</v>
      </c>
      <c r="B19" s="2"/>
      <c r="C19" s="2"/>
      <c r="D19" s="10"/>
      <c r="E19" s="10"/>
      <c r="F19" s="10">
        <f t="shared" si="1"/>
        <v>3454500</v>
      </c>
      <c r="G19" s="3"/>
    </row>
    <row r="20" spans="1:7" ht="30" customHeight="1" x14ac:dyDescent="0.35">
      <c r="A20" s="8">
        <v>15</v>
      </c>
      <c r="B20" s="2"/>
      <c r="C20" s="2"/>
      <c r="D20" s="10"/>
      <c r="E20" s="10"/>
      <c r="F20" s="10">
        <f t="shared" si="1"/>
        <v>3454500</v>
      </c>
      <c r="G20" s="3"/>
    </row>
    <row r="21" spans="1:7" ht="30" customHeight="1" x14ac:dyDescent="0.35">
      <c r="A21" s="8">
        <v>16</v>
      </c>
      <c r="B21" s="2"/>
      <c r="C21" s="2"/>
      <c r="D21" s="10"/>
      <c r="E21" s="10"/>
      <c r="F21" s="10">
        <f t="shared" si="1"/>
        <v>3454500</v>
      </c>
      <c r="G21" s="3"/>
    </row>
    <row r="22" spans="1:7" ht="30" customHeight="1" x14ac:dyDescent="0.35">
      <c r="A22" s="8">
        <v>17</v>
      </c>
      <c r="B22" s="2"/>
      <c r="C22" s="2"/>
      <c r="D22" s="10"/>
      <c r="E22" s="10"/>
      <c r="F22" s="10">
        <f t="shared" si="1"/>
        <v>3454500</v>
      </c>
      <c r="G22" s="3"/>
    </row>
    <row r="23" spans="1:7" ht="30" customHeight="1" x14ac:dyDescent="0.35">
      <c r="A23" s="8">
        <v>18</v>
      </c>
      <c r="B23" s="2"/>
      <c r="C23" s="2"/>
      <c r="D23" s="10"/>
      <c r="E23" s="10"/>
      <c r="F23" s="10">
        <f t="shared" si="1"/>
        <v>3454500</v>
      </c>
      <c r="G23" s="3"/>
    </row>
    <row r="24" spans="1:7" ht="30" customHeight="1" x14ac:dyDescent="0.35">
      <c r="A24" s="8">
        <v>19</v>
      </c>
      <c r="B24" s="2"/>
      <c r="C24" s="2"/>
      <c r="D24" s="10"/>
      <c r="E24" s="10"/>
      <c r="F24" s="10">
        <f t="shared" si="1"/>
        <v>3454500</v>
      </c>
      <c r="G24" s="3"/>
    </row>
    <row r="25" spans="1:7" ht="30" customHeight="1" x14ac:dyDescent="0.35">
      <c r="A25" s="8">
        <v>20</v>
      </c>
      <c r="B25" s="2"/>
      <c r="C25" s="2"/>
      <c r="D25" s="10"/>
      <c r="E25" s="10"/>
      <c r="F25" s="10">
        <f t="shared" si="1"/>
        <v>3454500</v>
      </c>
      <c r="G25" s="3"/>
    </row>
    <row r="26" spans="1:7" ht="30" customHeight="1" x14ac:dyDescent="0.35">
      <c r="A26" s="8">
        <v>21</v>
      </c>
      <c r="B26" s="2"/>
      <c r="C26" s="2"/>
      <c r="D26" s="10"/>
      <c r="E26" s="10"/>
      <c r="F26" s="10">
        <f t="shared" si="1"/>
        <v>3454500</v>
      </c>
      <c r="G26" s="3"/>
    </row>
    <row r="27" spans="1:7" ht="30" customHeight="1" x14ac:dyDescent="0.35">
      <c r="A27" s="8">
        <v>22</v>
      </c>
      <c r="B27" s="2"/>
      <c r="C27" s="2"/>
      <c r="D27" s="10"/>
      <c r="E27" s="10"/>
      <c r="F27" s="10">
        <f t="shared" si="1"/>
        <v>3454500</v>
      </c>
      <c r="G27" s="3"/>
    </row>
    <row r="28" spans="1:7" ht="30" customHeight="1" x14ac:dyDescent="0.35">
      <c r="A28" s="8">
        <v>23</v>
      </c>
      <c r="B28" s="2"/>
      <c r="C28" s="2"/>
      <c r="D28" s="10"/>
      <c r="E28" s="10"/>
      <c r="F28" s="10">
        <f t="shared" si="1"/>
        <v>3454500</v>
      </c>
      <c r="G28" s="3"/>
    </row>
    <row r="29" spans="1:7" ht="30" customHeight="1" x14ac:dyDescent="0.35">
      <c r="A29" s="8">
        <v>24</v>
      </c>
      <c r="B29" s="2"/>
      <c r="C29" s="2"/>
      <c r="D29" s="10"/>
      <c r="E29" s="10"/>
      <c r="F29" s="10">
        <f t="shared" si="1"/>
        <v>3454500</v>
      </c>
      <c r="G29" s="3"/>
    </row>
    <row r="30" spans="1:7" ht="30" customHeight="1" x14ac:dyDescent="0.35">
      <c r="A30" s="8">
        <v>25</v>
      </c>
      <c r="B30" s="2"/>
      <c r="C30" s="2"/>
      <c r="D30" s="10"/>
      <c r="E30" s="10"/>
      <c r="F30" s="10">
        <f t="shared" si="1"/>
        <v>3454500</v>
      </c>
      <c r="G30" s="3"/>
    </row>
    <row r="31" spans="1:7" ht="30" customHeight="1" x14ac:dyDescent="0.35">
      <c r="A31" s="8">
        <v>26</v>
      </c>
      <c r="B31" s="2"/>
      <c r="C31" s="2"/>
      <c r="D31" s="10"/>
      <c r="E31" s="10"/>
      <c r="F31" s="10">
        <f t="shared" si="1"/>
        <v>3454500</v>
      </c>
      <c r="G31" s="3"/>
    </row>
    <row r="32" spans="1:7" ht="30" customHeight="1" x14ac:dyDescent="0.35">
      <c r="A32" s="8">
        <v>27</v>
      </c>
      <c r="B32" s="2"/>
      <c r="C32" s="2"/>
      <c r="D32" s="10"/>
      <c r="E32" s="10"/>
      <c r="F32" s="10">
        <f t="shared" si="1"/>
        <v>3454500</v>
      </c>
      <c r="G32" s="3"/>
    </row>
    <row r="33" spans="1:7" ht="30" customHeight="1" x14ac:dyDescent="0.35">
      <c r="A33" s="8">
        <v>28</v>
      </c>
      <c r="B33" s="2"/>
      <c r="C33" s="2"/>
      <c r="D33" s="10"/>
      <c r="E33" s="10"/>
      <c r="F33" s="10">
        <f t="shared" si="1"/>
        <v>3454500</v>
      </c>
      <c r="G33" s="3"/>
    </row>
    <row r="34" spans="1:7" ht="30" customHeight="1" x14ac:dyDescent="0.35">
      <c r="A34" s="8">
        <v>29</v>
      </c>
      <c r="B34" s="2"/>
      <c r="C34" s="2"/>
      <c r="D34" s="10"/>
      <c r="E34" s="10"/>
      <c r="F34" s="10">
        <f t="shared" si="1"/>
        <v>3454500</v>
      </c>
      <c r="G34" s="3"/>
    </row>
    <row r="35" spans="1:7" ht="30" customHeight="1" x14ac:dyDescent="0.35">
      <c r="A35" s="8">
        <v>30</v>
      </c>
      <c r="B35" s="2"/>
      <c r="C35" s="2"/>
      <c r="D35" s="10"/>
      <c r="E35" s="10"/>
      <c r="F35" s="10">
        <f t="shared" si="1"/>
        <v>3454500</v>
      </c>
      <c r="G35" s="3"/>
    </row>
    <row r="36" spans="1:7" ht="30" customHeight="1" x14ac:dyDescent="0.35">
      <c r="A36" s="8">
        <v>31</v>
      </c>
      <c r="B36" s="2"/>
      <c r="C36" s="2"/>
      <c r="D36" s="10"/>
      <c r="E36" s="10"/>
      <c r="F36" s="10">
        <f t="shared" si="1"/>
        <v>3454500</v>
      </c>
      <c r="G36" s="3"/>
    </row>
    <row r="37" spans="1:7" ht="30" customHeight="1" x14ac:dyDescent="0.35">
      <c r="A37" s="8">
        <v>32</v>
      </c>
      <c r="B37" s="2"/>
      <c r="C37" s="2"/>
      <c r="D37" s="10"/>
      <c r="E37" s="10"/>
      <c r="F37" s="10">
        <f t="shared" si="1"/>
        <v>3454500</v>
      </c>
      <c r="G37" s="3"/>
    </row>
    <row r="38" spans="1:7" ht="30" customHeight="1" x14ac:dyDescent="0.35">
      <c r="A38" s="8">
        <v>33</v>
      </c>
      <c r="B38" s="2"/>
      <c r="C38" s="2"/>
      <c r="D38" s="10"/>
      <c r="E38" s="10"/>
      <c r="F38" s="10">
        <f t="shared" si="1"/>
        <v>3454500</v>
      </c>
      <c r="G38" s="3"/>
    </row>
    <row r="39" spans="1:7" ht="30" customHeight="1" x14ac:dyDescent="0.35">
      <c r="A39" s="8">
        <v>34</v>
      </c>
      <c r="B39" s="2"/>
      <c r="C39" s="2"/>
      <c r="D39" s="10"/>
      <c r="E39" s="10"/>
      <c r="F39" s="10">
        <f t="shared" si="1"/>
        <v>3454500</v>
      </c>
      <c r="G39" s="3"/>
    </row>
    <row r="40" spans="1:7" ht="30" customHeight="1" x14ac:dyDescent="0.35">
      <c r="A40" s="8">
        <v>35</v>
      </c>
      <c r="B40" s="2"/>
      <c r="C40" s="2"/>
      <c r="D40" s="10"/>
      <c r="E40" s="10"/>
      <c r="F40" s="10">
        <f t="shared" si="1"/>
        <v>3454500</v>
      </c>
      <c r="G40" s="3"/>
    </row>
    <row r="41" spans="1:7" ht="30" customHeight="1" x14ac:dyDescent="0.35">
      <c r="A41" s="8">
        <v>36</v>
      </c>
      <c r="B41" s="2"/>
      <c r="C41" s="2"/>
      <c r="D41" s="10"/>
      <c r="E41" s="10"/>
      <c r="F41" s="10">
        <f t="shared" si="1"/>
        <v>3454500</v>
      </c>
      <c r="G41" s="3"/>
    </row>
    <row r="42" spans="1:7" ht="30" customHeight="1" x14ac:dyDescent="0.35">
      <c r="A42" s="8">
        <v>37</v>
      </c>
      <c r="B42" s="2"/>
      <c r="C42" s="2"/>
      <c r="D42" s="10"/>
      <c r="E42" s="10"/>
      <c r="F42" s="10">
        <f t="shared" si="1"/>
        <v>3454500</v>
      </c>
      <c r="G42" s="3"/>
    </row>
    <row r="43" spans="1:7" ht="30" customHeight="1" x14ac:dyDescent="0.35">
      <c r="A43" s="8">
        <v>38</v>
      </c>
      <c r="B43" s="2"/>
      <c r="C43" s="2"/>
      <c r="D43" s="10"/>
      <c r="E43" s="10"/>
      <c r="F43" s="10">
        <f t="shared" si="1"/>
        <v>3454500</v>
      </c>
      <c r="G43" s="3"/>
    </row>
    <row r="44" spans="1:7" ht="30" customHeight="1" x14ac:dyDescent="0.35">
      <c r="A44" s="8">
        <v>39</v>
      </c>
      <c r="B44" s="2"/>
      <c r="C44" s="2"/>
      <c r="D44" s="10"/>
      <c r="E44" s="10"/>
      <c r="F44" s="10">
        <f t="shared" si="1"/>
        <v>3454500</v>
      </c>
      <c r="G44" s="3"/>
    </row>
    <row r="45" spans="1:7" ht="30" customHeight="1" x14ac:dyDescent="0.35">
      <c r="A45" s="8">
        <v>40</v>
      </c>
      <c r="B45" s="2"/>
      <c r="C45" s="2"/>
      <c r="D45" s="10"/>
      <c r="E45" s="10"/>
      <c r="F45" s="10">
        <f t="shared" si="1"/>
        <v>3454500</v>
      </c>
      <c r="G45" s="3"/>
    </row>
    <row r="46" spans="1:7" ht="30" customHeight="1" x14ac:dyDescent="0.35">
      <c r="A46" s="8">
        <v>41</v>
      </c>
      <c r="B46" s="2"/>
      <c r="C46" s="2"/>
      <c r="D46" s="10"/>
      <c r="E46" s="10"/>
      <c r="F46" s="10">
        <f t="shared" si="1"/>
        <v>3454500</v>
      </c>
      <c r="G46" s="3"/>
    </row>
    <row r="47" spans="1:7" ht="30" customHeight="1" x14ac:dyDescent="0.35">
      <c r="A47" s="8">
        <v>42</v>
      </c>
      <c r="B47" s="2"/>
      <c r="C47" s="2"/>
      <c r="D47" s="10"/>
      <c r="E47" s="10"/>
      <c r="F47" s="10">
        <f t="shared" si="1"/>
        <v>3454500</v>
      </c>
      <c r="G47" s="3"/>
    </row>
    <row r="48" spans="1:7" ht="30" customHeight="1" x14ac:dyDescent="0.35">
      <c r="A48" s="8">
        <v>43</v>
      </c>
      <c r="B48" s="2"/>
      <c r="C48" s="2"/>
      <c r="D48" s="10"/>
      <c r="E48" s="10"/>
      <c r="F48" s="10">
        <f t="shared" si="1"/>
        <v>3454500</v>
      </c>
      <c r="G48" s="3"/>
    </row>
    <row r="49" spans="1:7" ht="30" customHeight="1" x14ac:dyDescent="0.35">
      <c r="A49" s="8">
        <v>44</v>
      </c>
      <c r="B49" s="2"/>
      <c r="C49" s="2"/>
      <c r="D49" s="10"/>
      <c r="E49" s="10"/>
      <c r="F49" s="10">
        <f t="shared" si="1"/>
        <v>3454500</v>
      </c>
      <c r="G49" s="3"/>
    </row>
    <row r="50" spans="1:7" ht="30" customHeight="1" x14ac:dyDescent="0.35">
      <c r="A50" s="8">
        <v>45</v>
      </c>
      <c r="B50" s="2"/>
      <c r="C50" s="2"/>
      <c r="D50" s="10"/>
      <c r="E50" s="10"/>
      <c r="F50" s="10">
        <f t="shared" si="1"/>
        <v>3454500</v>
      </c>
      <c r="G50" s="3"/>
    </row>
    <row r="51" spans="1:7" ht="30" customHeight="1" x14ac:dyDescent="0.35">
      <c r="A51" s="8">
        <v>46</v>
      </c>
      <c r="B51" s="2"/>
      <c r="C51" s="2"/>
      <c r="D51" s="10"/>
      <c r="E51" s="10"/>
      <c r="F51" s="10">
        <f t="shared" si="1"/>
        <v>3454500</v>
      </c>
      <c r="G51" s="3"/>
    </row>
    <row r="52" spans="1:7" ht="30" customHeight="1" x14ac:dyDescent="0.35">
      <c r="A52" s="8">
        <v>47</v>
      </c>
      <c r="B52" s="2"/>
      <c r="C52" s="2"/>
      <c r="D52" s="10"/>
      <c r="E52" s="10"/>
      <c r="F52" s="10">
        <f t="shared" si="1"/>
        <v>3454500</v>
      </c>
      <c r="G52" s="3"/>
    </row>
    <row r="53" spans="1:7" ht="30" customHeight="1" x14ac:dyDescent="0.35">
      <c r="A53" s="8">
        <v>48</v>
      </c>
      <c r="B53" s="2"/>
      <c r="C53" s="2"/>
      <c r="D53" s="10"/>
      <c r="E53" s="10"/>
      <c r="F53" s="10">
        <f t="shared" si="1"/>
        <v>3454500</v>
      </c>
      <c r="G53" s="3"/>
    </row>
    <row r="54" spans="1:7" ht="30" customHeight="1" x14ac:dyDescent="0.35">
      <c r="A54" s="8">
        <v>49</v>
      </c>
      <c r="B54" s="2"/>
      <c r="C54" s="2"/>
      <c r="D54" s="10"/>
      <c r="E54" s="10"/>
      <c r="F54" s="10">
        <f t="shared" si="1"/>
        <v>3454500</v>
      </c>
      <c r="G54" s="3"/>
    </row>
    <row r="55" spans="1:7" ht="30" customHeight="1" x14ac:dyDescent="0.35">
      <c r="A55" s="8">
        <v>50</v>
      </c>
      <c r="B55" s="2"/>
      <c r="C55" s="2"/>
      <c r="D55" s="10"/>
      <c r="E55" s="10"/>
      <c r="F55" s="10">
        <f t="shared" si="1"/>
        <v>3454500</v>
      </c>
      <c r="G55" s="3"/>
    </row>
    <row r="56" spans="1:7" ht="30" customHeight="1" x14ac:dyDescent="0.35">
      <c r="A56" s="8">
        <v>51</v>
      </c>
      <c r="B56" s="2"/>
      <c r="C56" s="2"/>
      <c r="D56" s="10"/>
      <c r="E56" s="10"/>
      <c r="F56" s="10">
        <f t="shared" si="1"/>
        <v>3454500</v>
      </c>
      <c r="G56" s="3"/>
    </row>
    <row r="57" spans="1:7" ht="15.5" x14ac:dyDescent="0.35">
      <c r="B57" s="1"/>
      <c r="C57" s="1"/>
      <c r="D57" s="1"/>
      <c r="E57" s="1"/>
      <c r="F57" s="1"/>
    </row>
    <row r="58" spans="1:7" ht="15.5" x14ac:dyDescent="0.35">
      <c r="B58" s="1"/>
      <c r="C58" s="1"/>
      <c r="D58" s="1"/>
      <c r="E58" s="44" t="s">
        <v>9</v>
      </c>
      <c r="F58" s="44"/>
      <c r="G58" s="44"/>
    </row>
    <row r="59" spans="1:7" ht="15.5" x14ac:dyDescent="0.35">
      <c r="B59" s="1"/>
      <c r="C59" s="1"/>
      <c r="D59" s="1"/>
      <c r="E59" s="44" t="s">
        <v>10</v>
      </c>
      <c r="F59" s="44"/>
      <c r="G59" s="44"/>
    </row>
    <row r="60" spans="1:7" ht="15.5" x14ac:dyDescent="0.35">
      <c r="B60" s="1"/>
      <c r="C60" s="1"/>
      <c r="D60" s="1"/>
      <c r="E60" s="44"/>
      <c r="F60" s="44"/>
      <c r="G60" s="44"/>
    </row>
    <row r="61" spans="1:7" ht="15.5" x14ac:dyDescent="0.35">
      <c r="B61" s="1"/>
      <c r="C61" s="1"/>
      <c r="D61" s="1"/>
      <c r="E61" s="44"/>
      <c r="F61" s="44"/>
      <c r="G61" s="44"/>
    </row>
    <row r="62" spans="1:7" ht="15.5" x14ac:dyDescent="0.35">
      <c r="B62" s="1"/>
      <c r="C62" s="1"/>
      <c r="D62" s="1"/>
      <c r="E62" s="44"/>
      <c r="F62" s="44"/>
      <c r="G62" s="44"/>
    </row>
    <row r="63" spans="1:7" ht="15.5" x14ac:dyDescent="0.35">
      <c r="B63" s="1"/>
      <c r="C63" s="1"/>
      <c r="D63" s="1"/>
      <c r="E63" s="44" t="s">
        <v>11</v>
      </c>
      <c r="F63" s="44"/>
      <c r="G63" s="44"/>
    </row>
  </sheetData>
  <mergeCells count="10">
    <mergeCell ref="E60:G60"/>
    <mergeCell ref="E61:G61"/>
    <mergeCell ref="E62:G62"/>
    <mergeCell ref="E63:G63"/>
    <mergeCell ref="B1:G1"/>
    <mergeCell ref="B2:G2"/>
    <mergeCell ref="B3:G3"/>
    <mergeCell ref="B4:G4"/>
    <mergeCell ref="E58:G58"/>
    <mergeCell ref="E59:G59"/>
  </mergeCells>
  <pageMargins left="0.75" right="0.75" top="1" bottom="1" header="0.5" footer="0.5"/>
  <pageSetup paperSize="5" scale="4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4D3C-BD73-4A1F-91AE-97E48A9DFD20}">
  <sheetPr>
    <pageSetUpPr fitToPage="1"/>
  </sheetPr>
  <dimension ref="A1:G17"/>
  <sheetViews>
    <sheetView workbookViewId="0">
      <selection activeCell="D10" sqref="D10"/>
    </sheetView>
  </sheetViews>
  <sheetFormatPr defaultRowHeight="14.5" x14ac:dyDescent="0.35"/>
  <cols>
    <col min="1" max="1" width="8.7265625" style="7"/>
    <col min="2" max="2" width="20.26953125" customWidth="1"/>
    <col min="3" max="3" width="24.453125" customWidth="1"/>
    <col min="4" max="4" width="22.54296875" customWidth="1"/>
    <col min="5" max="5" width="23.36328125" customWidth="1"/>
    <col min="6" max="6" width="18.6328125" customWidth="1"/>
    <col min="7" max="7" width="17.81640625" customWidth="1"/>
  </cols>
  <sheetData>
    <row r="1" spans="1:7" ht="18" x14ac:dyDescent="0.4">
      <c r="B1" s="45" t="s">
        <v>3</v>
      </c>
      <c r="C1" s="45"/>
      <c r="D1" s="45"/>
      <c r="E1" s="45"/>
      <c r="F1" s="45"/>
      <c r="G1" s="45"/>
    </row>
    <row r="2" spans="1:7" ht="18" x14ac:dyDescent="0.4">
      <c r="B2" s="45" t="s">
        <v>15</v>
      </c>
      <c r="C2" s="45"/>
      <c r="D2" s="45"/>
      <c r="E2" s="45"/>
      <c r="F2" s="45"/>
      <c r="G2" s="45"/>
    </row>
    <row r="3" spans="1:7" ht="18" x14ac:dyDescent="0.4">
      <c r="B3" s="46">
        <v>46203</v>
      </c>
      <c r="C3" s="45"/>
      <c r="D3" s="45"/>
      <c r="E3" s="45"/>
      <c r="F3" s="45"/>
      <c r="G3" s="45"/>
    </row>
    <row r="4" spans="1:7" x14ac:dyDescent="0.35">
      <c r="B4" s="47"/>
      <c r="C4" s="47"/>
      <c r="D4" s="47"/>
      <c r="E4" s="47"/>
      <c r="F4" s="47"/>
      <c r="G4" s="47"/>
    </row>
    <row r="5" spans="1:7" ht="36" customHeight="1" x14ac:dyDescent="0.35">
      <c r="A5" s="4" t="s">
        <v>8</v>
      </c>
      <c r="B5" s="4" t="s">
        <v>0</v>
      </c>
      <c r="C5" s="4" t="s">
        <v>1</v>
      </c>
      <c r="D5" s="4" t="s">
        <v>4</v>
      </c>
      <c r="E5" s="4" t="s">
        <v>5</v>
      </c>
      <c r="F5" s="4" t="s">
        <v>6</v>
      </c>
      <c r="G5" s="4" t="s">
        <v>2</v>
      </c>
    </row>
    <row r="6" spans="1:7" ht="30" customHeight="1" x14ac:dyDescent="0.35">
      <c r="A6" s="8">
        <v>1</v>
      </c>
      <c r="B6" s="2" t="s">
        <v>25</v>
      </c>
      <c r="C6" s="2" t="s">
        <v>26</v>
      </c>
      <c r="D6" s="10">
        <v>170000</v>
      </c>
      <c r="E6" s="10"/>
      <c r="F6" s="20">
        <v>170000</v>
      </c>
      <c r="G6" s="12"/>
    </row>
    <row r="7" spans="1:7" ht="30" customHeight="1" x14ac:dyDescent="0.35">
      <c r="A7" s="8">
        <v>2</v>
      </c>
      <c r="B7" s="2"/>
      <c r="C7" s="2"/>
      <c r="D7" s="10"/>
      <c r="E7" s="10"/>
      <c r="F7" s="10"/>
      <c r="G7" s="12"/>
    </row>
    <row r="8" spans="1:7" ht="30" customHeight="1" x14ac:dyDescent="0.35">
      <c r="A8" s="8">
        <v>3</v>
      </c>
      <c r="B8" s="2"/>
      <c r="C8" s="2"/>
      <c r="D8" s="10"/>
      <c r="E8" s="10"/>
      <c r="F8" s="10"/>
      <c r="G8" s="12"/>
    </row>
    <row r="9" spans="1:7" ht="30" customHeight="1" x14ac:dyDescent="0.35">
      <c r="A9" s="8">
        <v>4</v>
      </c>
      <c r="B9" s="2"/>
      <c r="C9" s="2"/>
      <c r="D9" s="10"/>
      <c r="E9" s="10"/>
      <c r="F9" s="10"/>
      <c r="G9" s="12"/>
    </row>
    <row r="10" spans="1:7" ht="30" customHeight="1" x14ac:dyDescent="0.35">
      <c r="A10" s="8">
        <v>5</v>
      </c>
      <c r="B10" s="2"/>
      <c r="C10" s="2"/>
      <c r="D10" s="10"/>
      <c r="E10" s="10"/>
      <c r="F10" s="10"/>
      <c r="G10" s="12"/>
    </row>
    <row r="11" spans="1:7" ht="15.5" x14ac:dyDescent="0.35">
      <c r="B11" s="1"/>
      <c r="C11" s="1"/>
      <c r="D11" s="1"/>
      <c r="E11" s="1"/>
      <c r="F11" s="1"/>
    </row>
    <row r="12" spans="1:7" ht="15.5" x14ac:dyDescent="0.35">
      <c r="B12" s="1"/>
      <c r="C12" s="1"/>
      <c r="D12" s="1"/>
      <c r="E12" s="44" t="s">
        <v>9</v>
      </c>
      <c r="F12" s="44"/>
      <c r="G12" s="44"/>
    </row>
    <row r="13" spans="1:7" ht="15.5" x14ac:dyDescent="0.35">
      <c r="B13" s="1"/>
      <c r="C13" s="1"/>
      <c r="D13" s="1"/>
      <c r="E13" s="44" t="s">
        <v>10</v>
      </c>
      <c r="F13" s="44"/>
      <c r="G13" s="44"/>
    </row>
    <row r="14" spans="1:7" ht="15.5" x14ac:dyDescent="0.35">
      <c r="B14" s="1"/>
      <c r="C14" s="1"/>
      <c r="D14" s="1"/>
      <c r="E14" s="44"/>
      <c r="F14" s="44"/>
      <c r="G14" s="44"/>
    </row>
    <row r="15" spans="1:7" ht="15.5" x14ac:dyDescent="0.35">
      <c r="B15" s="1"/>
      <c r="C15" s="1"/>
      <c r="D15" s="1"/>
      <c r="E15" s="44"/>
      <c r="F15" s="44"/>
      <c r="G15" s="44"/>
    </row>
    <row r="16" spans="1:7" ht="15.5" x14ac:dyDescent="0.35">
      <c r="B16" s="1"/>
      <c r="C16" s="1"/>
      <c r="D16" s="1"/>
      <c r="E16" s="44"/>
      <c r="F16" s="44"/>
      <c r="G16" s="44"/>
    </row>
    <row r="17" spans="2:7" ht="15.5" x14ac:dyDescent="0.35">
      <c r="B17" s="1"/>
      <c r="C17" s="1"/>
      <c r="D17" s="1"/>
      <c r="E17" s="44" t="s">
        <v>11</v>
      </c>
      <c r="F17" s="44"/>
      <c r="G17" s="44"/>
    </row>
  </sheetData>
  <mergeCells count="10">
    <mergeCell ref="E14:G14"/>
    <mergeCell ref="E15:G15"/>
    <mergeCell ref="E16:G16"/>
    <mergeCell ref="E17:G17"/>
    <mergeCell ref="B1:G1"/>
    <mergeCell ref="B2:G2"/>
    <mergeCell ref="B3:G3"/>
    <mergeCell ref="B4:G4"/>
    <mergeCell ref="E12:G12"/>
    <mergeCell ref="E13:G13"/>
  </mergeCells>
  <pageMargins left="0.75" right="0.75" top="1" bottom="1" header="0.5" footer="0.5"/>
  <pageSetup paperSize="5" scale="4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8A69-AA79-41A9-8ACA-7DDF5BF71283}">
  <sheetPr>
    <pageSetUpPr fitToPage="1"/>
  </sheetPr>
  <dimension ref="A1:I21"/>
  <sheetViews>
    <sheetView zoomScale="84" zoomScaleNormal="84" workbookViewId="0">
      <selection activeCell="I11" sqref="I11"/>
    </sheetView>
  </sheetViews>
  <sheetFormatPr defaultRowHeight="14.5" x14ac:dyDescent="0.35"/>
  <cols>
    <col min="1" max="1" width="8.7265625" style="7"/>
    <col min="2" max="2" width="20.26953125" customWidth="1"/>
    <col min="3" max="3" width="24.453125" customWidth="1"/>
    <col min="4" max="4" width="22.54296875" customWidth="1"/>
    <col min="5" max="5" width="23.36328125" customWidth="1"/>
    <col min="6" max="6" width="21.08984375" customWidth="1"/>
    <col min="7" max="7" width="17.81640625" customWidth="1"/>
    <col min="8" max="8" width="17.1796875" customWidth="1"/>
    <col min="9" max="9" width="12" bestFit="1" customWidth="1"/>
  </cols>
  <sheetData>
    <row r="1" spans="1:9" ht="18" x14ac:dyDescent="0.4">
      <c r="B1" s="45" t="s">
        <v>3</v>
      </c>
      <c r="C1" s="45"/>
      <c r="D1" s="45"/>
      <c r="E1" s="45"/>
      <c r="F1" s="45"/>
      <c r="G1" s="45"/>
    </row>
    <row r="2" spans="1:9" ht="18" x14ac:dyDescent="0.4">
      <c r="B2" s="45" t="s">
        <v>14</v>
      </c>
      <c r="C2" s="45"/>
      <c r="D2" s="45"/>
      <c r="E2" s="45"/>
      <c r="F2" s="45"/>
      <c r="G2" s="45"/>
    </row>
    <row r="3" spans="1:9" ht="18" x14ac:dyDescent="0.4">
      <c r="B3" s="46">
        <v>46203</v>
      </c>
      <c r="C3" s="45"/>
      <c r="D3" s="45"/>
      <c r="E3" s="45"/>
      <c r="F3" s="45"/>
      <c r="G3" s="45"/>
    </row>
    <row r="4" spans="1:9" x14ac:dyDescent="0.35">
      <c r="B4" s="47"/>
      <c r="C4" s="47"/>
      <c r="D4" s="47"/>
      <c r="E4" s="47"/>
      <c r="F4" s="47"/>
      <c r="G4" s="47"/>
    </row>
    <row r="5" spans="1:9" ht="36" customHeight="1" x14ac:dyDescent="0.35">
      <c r="A5" s="4" t="s">
        <v>8</v>
      </c>
      <c r="B5" s="4" t="s">
        <v>0</v>
      </c>
      <c r="C5" s="4" t="s">
        <v>1</v>
      </c>
      <c r="D5" s="4" t="s">
        <v>4</v>
      </c>
      <c r="E5" s="4" t="s">
        <v>5</v>
      </c>
      <c r="F5" s="4" t="s">
        <v>6</v>
      </c>
      <c r="G5" s="4" t="s">
        <v>2</v>
      </c>
    </row>
    <row r="6" spans="1:9" ht="30" customHeight="1" x14ac:dyDescent="0.35">
      <c r="A6" s="8">
        <v>1</v>
      </c>
      <c r="B6" s="6">
        <v>46116</v>
      </c>
      <c r="C6" s="2" t="s">
        <v>21</v>
      </c>
      <c r="D6" s="31">
        <v>178500</v>
      </c>
      <c r="E6" s="31"/>
      <c r="F6" s="31">
        <f>D6-E6</f>
        <v>178500</v>
      </c>
      <c r="G6" s="3"/>
    </row>
    <row r="7" spans="1:9" ht="30" customHeight="1" x14ac:dyDescent="0.35">
      <c r="A7" s="8">
        <v>2</v>
      </c>
      <c r="B7" s="6">
        <v>46141</v>
      </c>
      <c r="C7" s="2" t="s">
        <v>21</v>
      </c>
      <c r="D7" s="31">
        <v>180000</v>
      </c>
      <c r="E7" s="31"/>
      <c r="F7" s="31">
        <f>F6+D7-E7</f>
        <v>358500</v>
      </c>
      <c r="G7" s="3"/>
    </row>
    <row r="8" spans="1:9" ht="30" customHeight="1" x14ac:dyDescent="0.35">
      <c r="A8" s="8">
        <v>3</v>
      </c>
      <c r="B8" s="6">
        <v>46158</v>
      </c>
      <c r="C8" s="2" t="s">
        <v>21</v>
      </c>
      <c r="D8" s="31">
        <v>174750</v>
      </c>
      <c r="E8" s="31"/>
      <c r="F8" s="31">
        <f t="shared" ref="F8:F14" si="0">F7+D8-E8</f>
        <v>533250</v>
      </c>
      <c r="G8" s="3"/>
    </row>
    <row r="9" spans="1:9" ht="30" customHeight="1" x14ac:dyDescent="0.35">
      <c r="A9" s="8">
        <v>4</v>
      </c>
      <c r="B9" s="6">
        <v>46179</v>
      </c>
      <c r="C9" s="2" t="s">
        <v>21</v>
      </c>
      <c r="D9" s="31">
        <v>86000</v>
      </c>
      <c r="E9" s="31"/>
      <c r="F9" s="31">
        <f t="shared" si="0"/>
        <v>619250</v>
      </c>
      <c r="G9" s="3"/>
    </row>
    <row r="10" spans="1:9" ht="30" customHeight="1" x14ac:dyDescent="0.35">
      <c r="A10" s="8">
        <v>5</v>
      </c>
      <c r="B10" s="6">
        <v>46188</v>
      </c>
      <c r="C10" s="2" t="s">
        <v>21</v>
      </c>
      <c r="D10" s="31">
        <v>150000</v>
      </c>
      <c r="E10" s="31"/>
      <c r="F10" s="31">
        <f t="shared" si="0"/>
        <v>769250</v>
      </c>
      <c r="G10" s="3"/>
      <c r="I10">
        <f>1664250-769250</f>
        <v>895000</v>
      </c>
    </row>
    <row r="11" spans="1:9" ht="30" customHeight="1" x14ac:dyDescent="0.35">
      <c r="A11" s="8">
        <v>6</v>
      </c>
      <c r="B11" s="11">
        <v>46108</v>
      </c>
      <c r="C11" s="2" t="s">
        <v>22</v>
      </c>
      <c r="D11" s="31">
        <v>100000</v>
      </c>
      <c r="E11" s="31"/>
      <c r="F11" s="31">
        <f t="shared" si="0"/>
        <v>869250</v>
      </c>
      <c r="G11" s="3"/>
    </row>
    <row r="12" spans="1:9" ht="30" customHeight="1" x14ac:dyDescent="0.35">
      <c r="A12" s="8">
        <v>7</v>
      </c>
      <c r="B12" s="2" t="s">
        <v>23</v>
      </c>
      <c r="C12" s="2" t="s">
        <v>22</v>
      </c>
      <c r="D12" s="31">
        <v>220000</v>
      </c>
      <c r="E12" s="31"/>
      <c r="F12" s="31">
        <f t="shared" si="0"/>
        <v>1089250</v>
      </c>
      <c r="G12" s="3"/>
    </row>
    <row r="13" spans="1:9" ht="30" customHeight="1" x14ac:dyDescent="0.35">
      <c r="A13" s="8">
        <v>8</v>
      </c>
      <c r="B13" s="2" t="s">
        <v>24</v>
      </c>
      <c r="C13" s="2" t="s">
        <v>22</v>
      </c>
      <c r="D13" s="31">
        <v>285000</v>
      </c>
      <c r="E13" s="31"/>
      <c r="F13" s="31">
        <f t="shared" si="0"/>
        <v>1374250</v>
      </c>
      <c r="G13" s="3"/>
    </row>
    <row r="14" spans="1:9" ht="30" customHeight="1" x14ac:dyDescent="0.35">
      <c r="A14" s="8">
        <v>9</v>
      </c>
      <c r="B14" s="2" t="s">
        <v>25</v>
      </c>
      <c r="C14" s="2" t="s">
        <v>22</v>
      </c>
      <c r="D14" s="31">
        <v>290000</v>
      </c>
      <c r="E14" s="31"/>
      <c r="F14" s="34">
        <f t="shared" si="0"/>
        <v>1664250</v>
      </c>
      <c r="G14" s="3"/>
      <c r="I14" s="13"/>
    </row>
    <row r="15" spans="1:9" ht="15.5" x14ac:dyDescent="0.35">
      <c r="B15" s="1"/>
      <c r="C15" s="1"/>
      <c r="D15" s="1"/>
      <c r="E15" s="1"/>
      <c r="F15" s="1"/>
    </row>
    <row r="16" spans="1:9" ht="15.5" x14ac:dyDescent="0.35">
      <c r="B16" s="1"/>
      <c r="C16" s="1"/>
      <c r="D16" s="1"/>
      <c r="E16" s="44" t="s">
        <v>9</v>
      </c>
      <c r="F16" s="44"/>
      <c r="G16" s="44"/>
    </row>
    <row r="17" spans="2:7" ht="15.5" x14ac:dyDescent="0.35">
      <c r="B17" s="1"/>
      <c r="C17" s="1"/>
      <c r="D17" s="1"/>
      <c r="E17" s="44" t="s">
        <v>10</v>
      </c>
      <c r="F17" s="44"/>
      <c r="G17" s="44"/>
    </row>
    <row r="18" spans="2:7" ht="15.5" x14ac:dyDescent="0.35">
      <c r="B18" s="1"/>
      <c r="C18" s="1"/>
      <c r="D18" s="1"/>
      <c r="E18" s="44"/>
      <c r="F18" s="44"/>
      <c r="G18" s="44"/>
    </row>
    <row r="19" spans="2:7" ht="15.5" x14ac:dyDescent="0.35">
      <c r="B19" s="1"/>
      <c r="C19" s="1"/>
      <c r="D19" s="1"/>
      <c r="E19" s="44"/>
      <c r="F19" s="44"/>
      <c r="G19" s="44"/>
    </row>
    <row r="20" spans="2:7" ht="15.5" x14ac:dyDescent="0.35">
      <c r="B20" s="1"/>
      <c r="C20" s="1"/>
      <c r="D20" s="1"/>
      <c r="E20" s="44"/>
      <c r="F20" s="44"/>
      <c r="G20" s="44"/>
    </row>
    <row r="21" spans="2:7" ht="15.5" x14ac:dyDescent="0.35">
      <c r="B21" s="1"/>
      <c r="C21" s="1"/>
      <c r="D21" s="1"/>
      <c r="E21" s="44" t="s">
        <v>11</v>
      </c>
      <c r="F21" s="44"/>
      <c r="G21" s="44"/>
    </row>
  </sheetData>
  <mergeCells count="10">
    <mergeCell ref="E18:G18"/>
    <mergeCell ref="E19:G19"/>
    <mergeCell ref="E20:G20"/>
    <mergeCell ref="E21:G21"/>
    <mergeCell ref="B1:G1"/>
    <mergeCell ref="B2:G2"/>
    <mergeCell ref="B3:G3"/>
    <mergeCell ref="B4:G4"/>
    <mergeCell ref="E16:G16"/>
    <mergeCell ref="E17:G17"/>
  </mergeCells>
  <pageMargins left="0.75" right="0.75" top="1" bottom="1" header="0.5" footer="0.5"/>
  <pageSetup paperSize="5" scale="4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BB83-4E4B-4189-98B7-E8B1B5C99BBA}">
  <sheetPr>
    <pageSetUpPr fitToPage="1"/>
  </sheetPr>
  <dimension ref="A1:G17"/>
  <sheetViews>
    <sheetView workbookViewId="0">
      <selection activeCell="D8" sqref="D8"/>
    </sheetView>
  </sheetViews>
  <sheetFormatPr defaultRowHeight="14.5" x14ac:dyDescent="0.35"/>
  <cols>
    <col min="1" max="1" width="8.7265625" style="7"/>
    <col min="2" max="2" width="20.26953125" customWidth="1"/>
    <col min="3" max="3" width="26.81640625" customWidth="1"/>
    <col min="4" max="4" width="22.54296875" customWidth="1"/>
    <col min="5" max="5" width="23.36328125" customWidth="1"/>
    <col min="6" max="6" width="18.6328125" customWidth="1"/>
    <col min="7" max="7" width="17.81640625" customWidth="1"/>
  </cols>
  <sheetData>
    <row r="1" spans="1:7" ht="18" x14ac:dyDescent="0.4">
      <c r="B1" s="45" t="s">
        <v>3</v>
      </c>
      <c r="C1" s="45"/>
      <c r="D1" s="45"/>
      <c r="E1" s="45"/>
      <c r="F1" s="45"/>
      <c r="G1" s="45"/>
    </row>
    <row r="2" spans="1:7" ht="18" x14ac:dyDescent="0.4">
      <c r="B2" s="45" t="s">
        <v>15</v>
      </c>
      <c r="C2" s="45"/>
      <c r="D2" s="45"/>
      <c r="E2" s="45"/>
      <c r="F2" s="45"/>
      <c r="G2" s="45"/>
    </row>
    <row r="3" spans="1:7" ht="18" x14ac:dyDescent="0.4">
      <c r="B3" s="46">
        <v>46203</v>
      </c>
      <c r="C3" s="45"/>
      <c r="D3" s="45"/>
      <c r="E3" s="45"/>
      <c r="F3" s="45"/>
      <c r="G3" s="45"/>
    </row>
    <row r="4" spans="1:7" x14ac:dyDescent="0.35">
      <c r="B4" s="47"/>
      <c r="C4" s="47"/>
      <c r="D4" s="47"/>
      <c r="E4" s="47"/>
      <c r="F4" s="47"/>
      <c r="G4" s="47"/>
    </row>
    <row r="5" spans="1:7" ht="36" customHeight="1" x14ac:dyDescent="0.35">
      <c r="A5" s="4" t="s">
        <v>8</v>
      </c>
      <c r="B5" s="4" t="s">
        <v>0</v>
      </c>
      <c r="C5" s="4" t="s">
        <v>1</v>
      </c>
      <c r="D5" s="4" t="s">
        <v>4</v>
      </c>
      <c r="E5" s="4" t="s">
        <v>5</v>
      </c>
      <c r="F5" s="4" t="s">
        <v>6</v>
      </c>
      <c r="G5" s="4" t="s">
        <v>2</v>
      </c>
    </row>
    <row r="6" spans="1:7" ht="30" customHeight="1" x14ac:dyDescent="0.35">
      <c r="A6" s="8">
        <v>1</v>
      </c>
      <c r="B6" s="2" t="s">
        <v>46</v>
      </c>
      <c r="C6" s="9" t="s">
        <v>47</v>
      </c>
      <c r="D6" s="10">
        <v>1000000</v>
      </c>
      <c r="E6" s="10"/>
      <c r="F6" s="20">
        <f>D6-E6</f>
        <v>1000000</v>
      </c>
      <c r="G6" s="12"/>
    </row>
    <row r="7" spans="1:7" ht="30" customHeight="1" x14ac:dyDescent="0.35">
      <c r="A7" s="8">
        <v>2</v>
      </c>
      <c r="B7" s="2" t="s">
        <v>77</v>
      </c>
      <c r="C7" s="9" t="s">
        <v>79</v>
      </c>
      <c r="D7" s="10"/>
      <c r="E7" s="10">
        <v>100000</v>
      </c>
      <c r="F7" s="10">
        <f>F6+D7-E7</f>
        <v>900000</v>
      </c>
      <c r="G7" s="12"/>
    </row>
    <row r="8" spans="1:7" ht="30" customHeight="1" x14ac:dyDescent="0.35">
      <c r="A8" s="8">
        <v>3</v>
      </c>
      <c r="B8" s="2" t="s">
        <v>78</v>
      </c>
      <c r="C8" s="9" t="s">
        <v>80</v>
      </c>
      <c r="D8" s="10"/>
      <c r="E8" s="10">
        <v>390000</v>
      </c>
      <c r="F8" s="10">
        <f t="shared" ref="F8:F10" si="0">F7+D8-E8</f>
        <v>510000</v>
      </c>
      <c r="G8" s="12"/>
    </row>
    <row r="9" spans="1:7" ht="30" customHeight="1" x14ac:dyDescent="0.35">
      <c r="A9" s="8">
        <v>4</v>
      </c>
      <c r="B9" s="2"/>
      <c r="C9" s="35" t="s">
        <v>81</v>
      </c>
      <c r="D9" s="10"/>
      <c r="E9" s="10">
        <v>300000</v>
      </c>
      <c r="F9" s="10">
        <f t="shared" si="0"/>
        <v>210000</v>
      </c>
      <c r="G9" s="12"/>
    </row>
    <row r="10" spans="1:7" ht="30" customHeight="1" x14ac:dyDescent="0.35">
      <c r="A10" s="8">
        <v>5</v>
      </c>
      <c r="B10" s="2"/>
      <c r="C10" s="2"/>
      <c r="D10" s="10"/>
      <c r="E10" s="10"/>
      <c r="F10" s="10">
        <f t="shared" si="0"/>
        <v>210000</v>
      </c>
      <c r="G10" s="12"/>
    </row>
    <row r="11" spans="1:7" ht="15.5" x14ac:dyDescent="0.35">
      <c r="B11" s="1"/>
      <c r="C11" s="1"/>
      <c r="D11" s="1"/>
      <c r="E11" s="1"/>
      <c r="F11" s="1"/>
    </row>
    <row r="12" spans="1:7" ht="15.5" x14ac:dyDescent="0.35">
      <c r="B12" s="1"/>
      <c r="C12" s="1"/>
      <c r="D12" s="1"/>
      <c r="E12" s="44" t="s">
        <v>9</v>
      </c>
      <c r="F12" s="44"/>
      <c r="G12" s="44"/>
    </row>
    <row r="13" spans="1:7" ht="15.5" x14ac:dyDescent="0.35">
      <c r="B13" s="1"/>
      <c r="C13" s="1"/>
      <c r="D13" s="1"/>
      <c r="E13" s="44" t="s">
        <v>10</v>
      </c>
      <c r="F13" s="44"/>
      <c r="G13" s="44"/>
    </row>
    <row r="14" spans="1:7" ht="15.5" x14ac:dyDescent="0.35">
      <c r="B14" s="1"/>
      <c r="C14" s="1"/>
      <c r="D14" s="1"/>
      <c r="E14" s="44"/>
      <c r="F14" s="44"/>
      <c r="G14" s="44"/>
    </row>
    <row r="15" spans="1:7" ht="15.5" x14ac:dyDescent="0.35">
      <c r="B15" s="1"/>
      <c r="C15" s="1"/>
      <c r="D15" s="1"/>
      <c r="E15" s="44"/>
      <c r="F15" s="44"/>
      <c r="G15" s="44"/>
    </row>
    <row r="16" spans="1:7" ht="15.5" x14ac:dyDescent="0.35">
      <c r="B16" s="1"/>
      <c r="C16" s="1"/>
      <c r="D16" s="1"/>
      <c r="E16" s="44"/>
      <c r="F16" s="44"/>
      <c r="G16" s="44"/>
    </row>
    <row r="17" spans="2:7" ht="15.5" x14ac:dyDescent="0.35">
      <c r="B17" s="1"/>
      <c r="C17" s="1"/>
      <c r="D17" s="1"/>
      <c r="E17" s="44" t="s">
        <v>11</v>
      </c>
      <c r="F17" s="44"/>
      <c r="G17" s="44"/>
    </row>
  </sheetData>
  <mergeCells count="10">
    <mergeCell ref="E14:G14"/>
    <mergeCell ref="E15:G15"/>
    <mergeCell ref="E16:G16"/>
    <mergeCell ref="E17:G17"/>
    <mergeCell ref="B1:G1"/>
    <mergeCell ref="B2:G2"/>
    <mergeCell ref="B3:G3"/>
    <mergeCell ref="B4:G4"/>
    <mergeCell ref="E12:G12"/>
    <mergeCell ref="E13:G13"/>
  </mergeCells>
  <phoneticPr fontId="8" type="noConversion"/>
  <pageMargins left="0.75" right="0.75" top="1" bottom="1" header="0.5" footer="0.5"/>
  <pageSetup paperSize="5" scale="4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F1F2-E9C3-4FD4-B0E5-9CC4074CF180}">
  <dimension ref="A1:B9"/>
  <sheetViews>
    <sheetView workbookViewId="0">
      <selection activeCell="B3" sqref="B3"/>
    </sheetView>
  </sheetViews>
  <sheetFormatPr defaultRowHeight="14.5" x14ac:dyDescent="0.35"/>
  <cols>
    <col min="1" max="1" width="20.453125" customWidth="1"/>
    <col min="2" max="2" width="18.1796875" customWidth="1"/>
  </cols>
  <sheetData>
    <row r="1" spans="1:2" x14ac:dyDescent="0.35">
      <c r="A1" t="s">
        <v>45</v>
      </c>
    </row>
    <row r="2" spans="1:2" x14ac:dyDescent="0.35">
      <c r="B2" s="5"/>
    </row>
    <row r="3" spans="1:2" x14ac:dyDescent="0.35">
      <c r="A3" s="8">
        <v>1</v>
      </c>
      <c r="B3" s="21">
        <v>150000</v>
      </c>
    </row>
    <row r="4" spans="1:2" x14ac:dyDescent="0.35">
      <c r="A4" s="8">
        <v>2</v>
      </c>
      <c r="B4" s="5">
        <v>242500</v>
      </c>
    </row>
    <row r="5" spans="1:2" x14ac:dyDescent="0.35">
      <c r="A5" s="8">
        <v>3</v>
      </c>
      <c r="B5" s="5">
        <v>135000</v>
      </c>
    </row>
    <row r="6" spans="1:2" x14ac:dyDescent="0.35">
      <c r="A6" s="8">
        <v>4</v>
      </c>
      <c r="B6" s="5">
        <v>600000</v>
      </c>
    </row>
    <row r="7" spans="1:2" x14ac:dyDescent="0.35">
      <c r="A7" s="8">
        <v>5</v>
      </c>
      <c r="B7" s="5">
        <v>0</v>
      </c>
    </row>
    <row r="8" spans="1:2" x14ac:dyDescent="0.35">
      <c r="A8" s="8">
        <v>6</v>
      </c>
      <c r="B8" s="5">
        <v>0</v>
      </c>
    </row>
    <row r="9" spans="1:2" x14ac:dyDescent="0.35">
      <c r="A9" s="8">
        <v>7</v>
      </c>
      <c r="B9" s="19">
        <f>SUM(B2:B8)</f>
        <v>1127500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6C53-0524-4AE4-AB85-DA7F35433EF7}">
  <dimension ref="A1:J36"/>
  <sheetViews>
    <sheetView zoomScale="65" zoomScaleNormal="65" workbookViewId="0">
      <selection activeCell="J20" sqref="J20"/>
    </sheetView>
  </sheetViews>
  <sheetFormatPr defaultRowHeight="14.5" x14ac:dyDescent="0.35"/>
  <cols>
    <col min="1" max="1" width="3.81640625" style="7" customWidth="1"/>
    <col min="2" max="2" width="3" style="15" customWidth="1"/>
    <col min="3" max="3" width="40.54296875" customWidth="1"/>
    <col min="6" max="6" width="19.1796875" style="18" customWidth="1"/>
  </cols>
  <sheetData>
    <row r="1" spans="1:9" ht="15.5" x14ac:dyDescent="0.35">
      <c r="A1" s="42" t="s">
        <v>48</v>
      </c>
      <c r="B1" s="42"/>
      <c r="C1" s="42"/>
      <c r="D1" s="42"/>
      <c r="E1" s="42"/>
      <c r="F1" s="42"/>
      <c r="I1" s="26">
        <v>0</v>
      </c>
    </row>
    <row r="2" spans="1:9" ht="15" x14ac:dyDescent="0.35">
      <c r="A2" s="42" t="s">
        <v>49</v>
      </c>
      <c r="B2" s="42"/>
      <c r="C2" s="42"/>
      <c r="D2" s="42"/>
      <c r="E2" s="42"/>
      <c r="F2" s="42"/>
    </row>
    <row r="3" spans="1:9" ht="15" x14ac:dyDescent="0.35">
      <c r="A3" s="42" t="s">
        <v>50</v>
      </c>
      <c r="B3" s="42"/>
      <c r="C3" s="42"/>
      <c r="D3" s="42"/>
      <c r="E3" s="42"/>
      <c r="F3" s="42"/>
    </row>
    <row r="4" spans="1:9" ht="15.5" x14ac:dyDescent="0.35">
      <c r="A4" s="1"/>
      <c r="B4" s="24"/>
      <c r="C4" s="25"/>
      <c r="D4" s="25"/>
      <c r="E4" s="25"/>
      <c r="F4" s="26"/>
    </row>
    <row r="5" spans="1:9" ht="15.5" x14ac:dyDescent="0.35">
      <c r="A5" s="29" t="s">
        <v>51</v>
      </c>
      <c r="B5" s="43" t="s">
        <v>52</v>
      </c>
      <c r="C5" s="43"/>
      <c r="D5" s="43"/>
      <c r="E5" s="43"/>
      <c r="F5" s="30"/>
    </row>
    <row r="6" spans="1:9" ht="15.5" x14ac:dyDescent="0.35">
      <c r="A6" s="1"/>
      <c r="B6" s="24">
        <v>1</v>
      </c>
      <c r="C6" s="25" t="s">
        <v>60</v>
      </c>
      <c r="D6" s="25"/>
      <c r="E6" s="25"/>
      <c r="F6" s="26">
        <v>1664250</v>
      </c>
    </row>
    <row r="7" spans="1:9" ht="15.5" x14ac:dyDescent="0.35">
      <c r="A7" s="1"/>
      <c r="B7" s="24">
        <v>2</v>
      </c>
      <c r="C7" s="25" t="s">
        <v>61</v>
      </c>
      <c r="D7" s="25"/>
      <c r="E7" s="25"/>
      <c r="F7" s="26">
        <v>13849.5</v>
      </c>
    </row>
    <row r="8" spans="1:9" ht="15.5" x14ac:dyDescent="0.35">
      <c r="A8" s="1"/>
      <c r="B8" s="24">
        <v>3</v>
      </c>
      <c r="C8" s="25" t="s">
        <v>53</v>
      </c>
      <c r="D8" s="25"/>
      <c r="E8" s="25"/>
      <c r="F8" s="26">
        <v>544500</v>
      </c>
    </row>
    <row r="9" spans="1:9" ht="15.5" x14ac:dyDescent="0.35">
      <c r="A9" s="1"/>
      <c r="B9" s="24">
        <v>4</v>
      </c>
      <c r="C9" s="25" t="s">
        <v>54</v>
      </c>
      <c r="D9" s="25"/>
      <c r="E9" s="25"/>
      <c r="F9" s="26">
        <v>170000</v>
      </c>
    </row>
    <row r="10" spans="1:9" ht="15.5" x14ac:dyDescent="0.35">
      <c r="A10" s="1"/>
      <c r="B10" s="24">
        <v>5</v>
      </c>
      <c r="C10" s="25" t="s">
        <v>55</v>
      </c>
      <c r="D10" s="25"/>
      <c r="E10" s="25"/>
      <c r="F10" s="26">
        <v>123000</v>
      </c>
    </row>
    <row r="11" spans="1:9" ht="15.5" x14ac:dyDescent="0.35">
      <c r="A11" s="1"/>
      <c r="B11" s="24">
        <v>6</v>
      </c>
      <c r="C11" s="25" t="s">
        <v>56</v>
      </c>
      <c r="D11" s="25"/>
      <c r="E11" s="25"/>
      <c r="F11" s="26">
        <v>0</v>
      </c>
    </row>
    <row r="12" spans="1:9" ht="15.5" x14ac:dyDescent="0.35">
      <c r="A12" s="1"/>
      <c r="B12" s="24"/>
      <c r="C12" s="25" t="s">
        <v>57</v>
      </c>
      <c r="D12" s="25"/>
      <c r="E12" s="25"/>
      <c r="F12" s="26"/>
    </row>
    <row r="13" spans="1:9" ht="15.5" x14ac:dyDescent="0.35">
      <c r="A13" s="1"/>
      <c r="B13" s="24"/>
      <c r="C13" s="25" t="s">
        <v>74</v>
      </c>
      <c r="D13" s="25"/>
      <c r="E13" s="25"/>
      <c r="F13" s="27">
        <f>SUM(F6:F12)</f>
        <v>2515599.5</v>
      </c>
    </row>
    <row r="14" spans="1:9" ht="15.5" x14ac:dyDescent="0.35">
      <c r="A14" s="29" t="s">
        <v>58</v>
      </c>
      <c r="B14" s="43" t="s">
        <v>59</v>
      </c>
      <c r="C14" s="43"/>
      <c r="D14" s="43"/>
      <c r="E14" s="43"/>
      <c r="F14" s="30"/>
    </row>
    <row r="15" spans="1:9" ht="15.5" x14ac:dyDescent="0.35">
      <c r="A15" s="1"/>
      <c r="B15" s="24">
        <v>1</v>
      </c>
      <c r="C15" s="25" t="s">
        <v>62</v>
      </c>
      <c r="D15" s="25"/>
      <c r="E15" s="25"/>
      <c r="F15" s="26">
        <v>0</v>
      </c>
    </row>
    <row r="16" spans="1:9" ht="15.5" x14ac:dyDescent="0.35">
      <c r="A16" s="1"/>
      <c r="B16" s="24">
        <v>2</v>
      </c>
      <c r="C16" s="25" t="s">
        <v>63</v>
      </c>
      <c r="D16" s="25"/>
      <c r="E16" s="25"/>
      <c r="F16" s="26">
        <v>7000</v>
      </c>
    </row>
    <row r="17" spans="1:10" ht="15.5" x14ac:dyDescent="0.35">
      <c r="A17" s="1"/>
      <c r="B17" s="24">
        <v>3</v>
      </c>
      <c r="C17" s="25" t="s">
        <v>64</v>
      </c>
      <c r="D17" s="25"/>
      <c r="E17" s="25"/>
      <c r="F17" s="26">
        <v>250000</v>
      </c>
    </row>
    <row r="18" spans="1:10" ht="15.5" x14ac:dyDescent="0.35">
      <c r="A18" s="1"/>
      <c r="B18" s="24">
        <v>4</v>
      </c>
      <c r="C18" s="25" t="s">
        <v>66</v>
      </c>
      <c r="D18" s="25"/>
      <c r="E18" s="25"/>
      <c r="F18" s="26">
        <v>0</v>
      </c>
    </row>
    <row r="19" spans="1:10" ht="15.5" x14ac:dyDescent="0.35">
      <c r="A19" s="1"/>
      <c r="B19" s="24">
        <v>5</v>
      </c>
      <c r="C19" s="25" t="s">
        <v>65</v>
      </c>
      <c r="D19" s="25"/>
      <c r="E19" s="25"/>
      <c r="F19" s="26">
        <v>61500</v>
      </c>
    </row>
    <row r="20" spans="1:10" ht="15.5" x14ac:dyDescent="0.35">
      <c r="A20" s="1"/>
      <c r="B20" s="24">
        <v>6</v>
      </c>
      <c r="C20" s="25" t="s">
        <v>67</v>
      </c>
      <c r="D20" s="25"/>
      <c r="E20" s="25"/>
      <c r="F20" s="26">
        <v>0</v>
      </c>
      <c r="J20" s="26">
        <v>0</v>
      </c>
    </row>
    <row r="21" spans="1:10" ht="15.5" x14ac:dyDescent="0.35">
      <c r="A21" s="1"/>
      <c r="B21" s="24">
        <v>7</v>
      </c>
      <c r="C21" s="25" t="s">
        <v>68</v>
      </c>
      <c r="D21" s="25"/>
      <c r="E21" s="25"/>
      <c r="F21" s="26">
        <v>1127500</v>
      </c>
    </row>
    <row r="22" spans="1:10" ht="15.5" x14ac:dyDescent="0.35">
      <c r="A22" s="1"/>
      <c r="B22" s="24">
        <v>8</v>
      </c>
      <c r="C22" s="25" t="s">
        <v>69</v>
      </c>
      <c r="D22" s="25"/>
      <c r="E22" s="25"/>
      <c r="F22" s="26">
        <f>'[1]Juni '!$I$12</f>
        <v>1010375</v>
      </c>
    </row>
    <row r="23" spans="1:10" ht="15.5" x14ac:dyDescent="0.35">
      <c r="A23" s="1"/>
      <c r="B23" s="24"/>
      <c r="C23" s="25" t="s">
        <v>75</v>
      </c>
      <c r="D23" s="25"/>
      <c r="E23" s="25"/>
      <c r="F23" s="27">
        <f>SUM(F15:F22)</f>
        <v>2456375</v>
      </c>
    </row>
    <row r="24" spans="1:10" ht="15.5" x14ac:dyDescent="0.35">
      <c r="A24" s="1"/>
      <c r="B24" s="24"/>
      <c r="C24" s="25"/>
      <c r="D24" s="25"/>
      <c r="E24" s="25"/>
      <c r="F24" s="26"/>
    </row>
    <row r="25" spans="1:10" ht="15.5" x14ac:dyDescent="0.35">
      <c r="A25" s="29" t="s">
        <v>70</v>
      </c>
      <c r="B25" s="41" t="s">
        <v>76</v>
      </c>
      <c r="C25" s="41"/>
      <c r="D25" s="41"/>
      <c r="E25" s="41"/>
      <c r="F25" s="41"/>
    </row>
    <row r="26" spans="1:10" ht="15.5" x14ac:dyDescent="0.35">
      <c r="A26" s="1"/>
      <c r="B26" s="24">
        <v>1</v>
      </c>
      <c r="C26" s="25" t="s">
        <v>71</v>
      </c>
      <c r="D26" s="25"/>
      <c r="E26" s="25"/>
      <c r="F26" s="26">
        <f>F13-F23</f>
        <v>59224.5</v>
      </c>
    </row>
    <row r="27" spans="1:10" ht="16" thickBot="1" x14ac:dyDescent="0.4">
      <c r="A27" s="1"/>
      <c r="B27" s="24">
        <v>2</v>
      </c>
      <c r="C27" s="25" t="s">
        <v>72</v>
      </c>
      <c r="D27" s="25"/>
      <c r="E27" s="25"/>
      <c r="F27" s="26">
        <v>0</v>
      </c>
    </row>
    <row r="28" spans="1:10" ht="16" thickBot="1" x14ac:dyDescent="0.4">
      <c r="A28" s="1"/>
      <c r="B28" s="24">
        <v>3</v>
      </c>
      <c r="C28" s="25" t="s">
        <v>73</v>
      </c>
      <c r="D28" s="25"/>
      <c r="E28" s="25"/>
      <c r="F28" s="28">
        <f>F26-F27</f>
        <v>59224.5</v>
      </c>
    </row>
    <row r="29" spans="1:10" ht="15.5" x14ac:dyDescent="0.35">
      <c r="A29" s="1"/>
      <c r="B29" s="24"/>
      <c r="C29" s="25"/>
      <c r="D29" s="25"/>
      <c r="E29" s="25"/>
      <c r="F29" s="26"/>
    </row>
    <row r="30" spans="1:10" ht="15.5" x14ac:dyDescent="0.35">
      <c r="A30" s="1"/>
      <c r="B30" s="24"/>
      <c r="C30" s="25"/>
      <c r="D30" s="25"/>
      <c r="E30" s="25"/>
      <c r="F30" s="26"/>
    </row>
    <row r="31" spans="1:10" ht="15.5" x14ac:dyDescent="0.35">
      <c r="A31" s="1"/>
      <c r="B31" s="24"/>
      <c r="C31" s="25"/>
      <c r="D31" s="25"/>
      <c r="E31" s="25"/>
      <c r="F31" s="26"/>
    </row>
    <row r="32" spans="1:10" ht="15.5" x14ac:dyDescent="0.35">
      <c r="A32" s="1"/>
      <c r="B32" s="24"/>
      <c r="C32" s="25"/>
      <c r="D32" s="25"/>
      <c r="E32" s="25"/>
      <c r="F32" s="26"/>
    </row>
    <row r="33" spans="1:6" ht="15.5" x14ac:dyDescent="0.35">
      <c r="A33" s="1"/>
      <c r="B33" s="24"/>
      <c r="C33" s="25"/>
      <c r="D33" s="25"/>
      <c r="E33" s="25"/>
      <c r="F33" s="26"/>
    </row>
    <row r="34" spans="1:6" ht="15.5" x14ac:dyDescent="0.35">
      <c r="A34" s="1"/>
      <c r="B34" s="24"/>
      <c r="C34" s="25"/>
      <c r="D34" s="25"/>
      <c r="E34" s="25"/>
      <c r="F34" s="26"/>
    </row>
    <row r="35" spans="1:6" ht="15.5" x14ac:dyDescent="0.35">
      <c r="A35" s="1"/>
      <c r="B35" s="24"/>
      <c r="C35" s="25"/>
      <c r="D35" s="25"/>
      <c r="E35" s="25"/>
      <c r="F35" s="26"/>
    </row>
    <row r="36" spans="1:6" ht="15.5" x14ac:dyDescent="0.35">
      <c r="A36" s="1"/>
      <c r="B36" s="24"/>
      <c r="C36" s="25"/>
      <c r="D36" s="25"/>
      <c r="E36" s="25"/>
      <c r="F36" s="26"/>
    </row>
  </sheetData>
  <mergeCells count="6">
    <mergeCell ref="B25:F25"/>
    <mergeCell ref="A1:F1"/>
    <mergeCell ref="A2:F2"/>
    <mergeCell ref="A3:F3"/>
    <mergeCell ref="B5:E5"/>
    <mergeCell ref="B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8</vt:i4>
      </vt:variant>
    </vt:vector>
  </HeadingPairs>
  <TitlesOfParts>
    <vt:vector size="8" baseType="lpstr">
      <vt:lpstr>BRILINK</vt:lpstr>
      <vt:lpstr>POSPAY</vt:lpstr>
      <vt:lpstr>BANEW</vt:lpstr>
      <vt:lpstr>GERAI KANTOR</vt:lpstr>
      <vt:lpstr>MITRA SPPG</vt:lpstr>
      <vt:lpstr>Agro Mandiri</vt:lpstr>
      <vt:lpstr>opersional (2)</vt:lpstr>
      <vt:lpstr>Laba Rugi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satijo sip</cp:lastModifiedBy>
  <cp:lastPrinted>2026-06-24T11:16:57Z</cp:lastPrinted>
  <dcterms:created xsi:type="dcterms:W3CDTF">2026-06-17T17:21:12Z</dcterms:created>
  <dcterms:modified xsi:type="dcterms:W3CDTF">2026-07-05T12:38:57Z</dcterms:modified>
</cp:coreProperties>
</file>