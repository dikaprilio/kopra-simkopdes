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f7261dde601367/Dokumen/BA_2026/Laporan BA/KDMP Palbapang/"/>
    </mc:Choice>
  </mc:AlternateContent>
  <xr:revisionPtr revIDLastSave="81" documentId="11_3B8B4F254A9F7FCC6281C98619BB2436A4FDF268" xr6:coauthVersionLast="47" xr6:coauthVersionMax="47" xr10:uidLastSave="{033E391D-140C-4008-AE1E-AFD1CBF93A8C}"/>
  <bookViews>
    <workbookView xWindow="-110" yWindow="-110" windowWidth="19420" windowHeight="11500" activeTab="6" xr2:uid="{00000000-000D-0000-FFFF-FFFF00000000}"/>
  </bookViews>
  <sheets>
    <sheet name="Januari" sheetId="5" r:id="rId1"/>
    <sheet name="Pebruari" sheetId="8" r:id="rId2"/>
    <sheet name="Maret" sheetId="11" r:id="rId3"/>
    <sheet name="April" sheetId="12" r:id="rId4"/>
    <sheet name="Mei" sheetId="13" r:id="rId5"/>
    <sheet name="Juni " sheetId="14" r:id="rId6"/>
    <sheet name="Juli" sheetId="15" r:id="rId7"/>
    <sheet name="Agustus" sheetId="16" r:id="rId8"/>
    <sheet name="September" sheetId="17" r:id="rId9"/>
    <sheet name="Oktober " sheetId="18" r:id="rId10"/>
    <sheet name="Nopember " sheetId="19" r:id="rId11"/>
    <sheet name="Desember" sheetId="20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5" l="1"/>
  <c r="I6" i="15"/>
  <c r="I7" i="15"/>
  <c r="I8" i="15"/>
  <c r="I9" i="15"/>
  <c r="I10" i="15"/>
  <c r="I12" i="14"/>
  <c r="I11" i="14"/>
  <c r="I8" i="13"/>
  <c r="I11" i="13"/>
  <c r="I13" i="8"/>
  <c r="I12" i="5"/>
  <c r="I13" i="12"/>
  <c r="I14" i="12" s="1"/>
  <c r="I12" i="12"/>
  <c r="A2" i="13" l="1"/>
  <c r="A2" i="14" s="1"/>
  <c r="A2" i="15" s="1"/>
  <c r="A2" i="16" s="1"/>
  <c r="A2" i="17" s="1"/>
  <c r="A2" i="18" s="1"/>
  <c r="A2" i="19" s="1"/>
  <c r="A2" i="20" s="1"/>
  <c r="I7" i="13" l="1"/>
  <c r="I7" i="12"/>
  <c r="I6" i="12" l="1"/>
  <c r="I6" i="11" l="1"/>
  <c r="I5" i="5" l="1"/>
  <c r="I6" i="8" l="1"/>
  <c r="I6" i="5"/>
  <c r="I7" i="5"/>
  <c r="I5" i="8" s="1"/>
  <c r="F5" i="5"/>
  <c r="I7" i="8" l="1"/>
  <c r="I47" i="20"/>
  <c r="F45" i="20"/>
  <c r="E45" i="20"/>
  <c r="J44" i="20"/>
  <c r="I44" i="20"/>
  <c r="K44" i="20" s="1"/>
  <c r="I47" i="19"/>
  <c r="F45" i="19"/>
  <c r="E45" i="19"/>
  <c r="J44" i="19"/>
  <c r="I44" i="19"/>
  <c r="K44" i="19" s="1"/>
  <c r="I47" i="18"/>
  <c r="F45" i="18"/>
  <c r="E45" i="18"/>
  <c r="J44" i="18"/>
  <c r="I44" i="18"/>
  <c r="I47" i="17"/>
  <c r="F45" i="17"/>
  <c r="E45" i="17"/>
  <c r="J44" i="17"/>
  <c r="I44" i="17"/>
  <c r="I47" i="16"/>
  <c r="F45" i="16"/>
  <c r="E45" i="16"/>
  <c r="J44" i="16"/>
  <c r="I44" i="16"/>
  <c r="K44" i="16" s="1"/>
  <c r="I47" i="15"/>
  <c r="F45" i="15"/>
  <c r="E45" i="15"/>
  <c r="J44" i="15"/>
  <c r="I44" i="15"/>
  <c r="K44" i="15" s="1"/>
  <c r="I47" i="14"/>
  <c r="F45" i="14"/>
  <c r="G45" i="14" s="1"/>
  <c r="E45" i="14"/>
  <c r="J44" i="14"/>
  <c r="I44" i="14"/>
  <c r="I47" i="13"/>
  <c r="F45" i="13"/>
  <c r="E45" i="13"/>
  <c r="J44" i="13"/>
  <c r="I44" i="13"/>
  <c r="I47" i="12"/>
  <c r="F45" i="12"/>
  <c r="E45" i="12"/>
  <c r="J44" i="12"/>
  <c r="I44" i="12"/>
  <c r="K44" i="12" s="1"/>
  <c r="I47" i="11"/>
  <c r="F45" i="11"/>
  <c r="E45" i="11"/>
  <c r="J44" i="11"/>
  <c r="I44" i="11"/>
  <c r="K44" i="11" s="1"/>
  <c r="F34" i="5"/>
  <c r="E34" i="5"/>
  <c r="F45" i="8"/>
  <c r="E45" i="8"/>
  <c r="I36" i="5"/>
  <c r="G45" i="16" l="1"/>
  <c r="K44" i="13"/>
  <c r="K44" i="17"/>
  <c r="G45" i="18"/>
  <c r="I5" i="12"/>
  <c r="I8" i="12" s="1"/>
  <c r="I6" i="13" s="1"/>
  <c r="I9" i="13" s="1"/>
  <c r="I6" i="14" s="1"/>
  <c r="I5" i="11"/>
  <c r="I7" i="11" s="1"/>
  <c r="K44" i="14"/>
  <c r="G45" i="15"/>
  <c r="K44" i="18"/>
  <c r="G45" i="19"/>
  <c r="G45" i="17"/>
  <c r="G45" i="13"/>
  <c r="G45" i="12"/>
  <c r="G45" i="8"/>
  <c r="F35" i="5"/>
  <c r="F36" i="5" s="1"/>
  <c r="F5" i="8" s="1"/>
  <c r="F46" i="8" s="1"/>
  <c r="F47" i="8" s="1"/>
  <c r="F5" i="11" s="1"/>
  <c r="F46" i="11" s="1"/>
  <c r="F47" i="11" s="1"/>
  <c r="F5" i="12" s="1"/>
  <c r="F46" i="12" s="1"/>
  <c r="F47" i="12" s="1"/>
  <c r="F5" i="13" s="1"/>
  <c r="F46" i="13" s="1"/>
  <c r="F47" i="13" s="1"/>
  <c r="F5" i="14" s="1"/>
  <c r="F46" i="14" s="1"/>
  <c r="F47" i="14" s="1"/>
  <c r="F5" i="15" s="1"/>
  <c r="F46" i="15" s="1"/>
  <c r="F47" i="15" s="1"/>
  <c r="F5" i="16" s="1"/>
  <c r="F46" i="16" s="1"/>
  <c r="F47" i="16" s="1"/>
  <c r="F5" i="17" s="1"/>
  <c r="F46" i="17" s="1"/>
  <c r="F47" i="17" s="1"/>
  <c r="F5" i="18" s="1"/>
  <c r="F46" i="18" s="1"/>
  <c r="F47" i="18" s="1"/>
  <c r="G34" i="5"/>
  <c r="G45" i="20"/>
  <c r="G45" i="11"/>
  <c r="E5" i="5" l="1"/>
  <c r="F5" i="19"/>
  <c r="F46" i="19" s="1"/>
  <c r="F47" i="19" s="1"/>
  <c r="F5" i="20"/>
  <c r="F46" i="20" s="1"/>
  <c r="F47" i="20" s="1"/>
  <c r="G5" i="5" l="1"/>
  <c r="E35" i="5"/>
  <c r="E36" i="5" s="1"/>
  <c r="E5" i="8" s="1"/>
  <c r="E46" i="8" s="1"/>
  <c r="E47" i="8" s="1"/>
  <c r="E5" i="11" s="1"/>
  <c r="E46" i="11" s="1"/>
  <c r="E47" i="11" s="1"/>
  <c r="E5" i="12" s="1"/>
  <c r="E46" i="12" s="1"/>
  <c r="E47" i="12" s="1"/>
  <c r="E5" i="13" s="1"/>
  <c r="E46" i="13" s="1"/>
  <c r="E47" i="13" s="1"/>
  <c r="E5" i="14" s="1"/>
  <c r="E46" i="14" s="1"/>
  <c r="E47" i="14" s="1"/>
  <c r="E5" i="15" s="1"/>
  <c r="E46" i="15" s="1"/>
  <c r="E47" i="15" s="1"/>
  <c r="E5" i="16" s="1"/>
  <c r="E46" i="16" s="1"/>
  <c r="E47" i="16" s="1"/>
  <c r="E5" i="17" s="1"/>
  <c r="E46" i="17" s="1"/>
  <c r="E47" i="17" s="1"/>
  <c r="E5" i="18" s="1"/>
  <c r="E46" i="18" s="1"/>
  <c r="E47" i="18" s="1"/>
  <c r="G6" i="5" l="1"/>
  <c r="G7" i="5" s="1"/>
  <c r="G8" i="5" s="1"/>
  <c r="G9" i="5" s="1"/>
  <c r="G10" i="5" s="1"/>
  <c r="G11" i="5" s="1"/>
  <c r="G12" i="5" s="1"/>
  <c r="G35" i="5"/>
  <c r="G36" i="5" s="1"/>
  <c r="G5" i="8" s="1"/>
  <c r="E5" i="19"/>
  <c r="E46" i="19" s="1"/>
  <c r="E47" i="19" s="1"/>
  <c r="E5" i="20"/>
  <c r="E46" i="20" s="1"/>
  <c r="E47" i="20" s="1"/>
  <c r="G6" i="8" l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6" i="8"/>
  <c r="G47" i="8" s="1"/>
  <c r="G5" i="11" s="1"/>
  <c r="G6" i="11" l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6" i="11"/>
  <c r="G47" i="11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l="1"/>
  <c r="G46" i="12"/>
  <c r="G47" i="12" s="1"/>
  <c r="G5" i="13" s="1"/>
  <c r="I5" i="13" s="1"/>
  <c r="G6" i="13" l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6" i="13"/>
  <c r="G47" i="13" s="1"/>
  <c r="G5" i="14" s="1"/>
  <c r="I5" i="14" s="1"/>
  <c r="G6" i="14" l="1"/>
  <c r="G46" i="14"/>
  <c r="G47" i="14" s="1"/>
  <c r="G5" i="15" s="1"/>
  <c r="G7" i="14" l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I9" i="14" s="1"/>
  <c r="G6" i="15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6" i="15"/>
  <c r="G47" i="15" s="1"/>
  <c r="G5" i="16" s="1"/>
  <c r="G6" i="16" l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6" i="16"/>
  <c r="G47" i="16" s="1"/>
  <c r="G5" i="17" s="1"/>
  <c r="I5" i="16"/>
  <c r="G6" i="17" l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I5" i="17"/>
  <c r="G46" i="17"/>
  <c r="G47" i="17" s="1"/>
  <c r="G5" i="18" s="1"/>
  <c r="G6" i="18" l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6" i="18"/>
  <c r="G47" i="18" s="1"/>
  <c r="I5" i="18"/>
  <c r="G5" i="20" l="1"/>
  <c r="G5" i="19"/>
  <c r="G6" i="19" l="1"/>
  <c r="G7" i="19" s="1"/>
  <c r="G8" i="19" s="1"/>
  <c r="G9" i="19" s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6" i="19"/>
  <c r="G47" i="19" s="1"/>
  <c r="I5" i="19"/>
  <c r="G6" i="20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I5" i="20"/>
  <c r="G46" i="20"/>
  <c r="G47" i="20" s="1"/>
</calcChain>
</file>

<file path=xl/sharedStrings.xml><?xml version="1.0" encoding="utf-8"?>
<sst xmlns="http://schemas.openxmlformats.org/spreadsheetml/2006/main" count="261" uniqueCount="73">
  <si>
    <t>No</t>
  </si>
  <si>
    <t>Tanggal</t>
  </si>
  <si>
    <t>Uraian Transaksi</t>
  </si>
  <si>
    <t>Saldo (Rp)</t>
  </si>
  <si>
    <t>Keterangan</t>
  </si>
  <si>
    <t xml:space="preserve">Transaksi Bulan ini </t>
  </si>
  <si>
    <t>Jumlah Transaksi Sampai Bulan ini</t>
  </si>
  <si>
    <t xml:space="preserve">Total Transaksi Sampai Bulan ini </t>
  </si>
  <si>
    <t>Debet (Rp)</t>
  </si>
  <si>
    <t>Kredit (Rp)</t>
  </si>
  <si>
    <t>Bukti</t>
  </si>
  <si>
    <t>KOPERASI DESA MERAH PUTIH (KDMP) KALURAHAN  PALBAPANG</t>
  </si>
  <si>
    <t>Bendahara</t>
  </si>
  <si>
    <t>Saldo Bulan Lalu</t>
  </si>
  <si>
    <t>Periode 31 Januari 2026</t>
  </si>
  <si>
    <t>Saldo Bank Bulan Lalu</t>
  </si>
  <si>
    <t>Bantul , 31 Januari  2026</t>
  </si>
  <si>
    <t>Periode 31 Maret 2026</t>
  </si>
  <si>
    <t>Periode 28 Pebruari 2026</t>
  </si>
  <si>
    <t>Bantul , 28 Pebruari 2026</t>
  </si>
  <si>
    <t>Bantul , 31 Maret 2026</t>
  </si>
  <si>
    <t>Bantul , 30 April 2026</t>
  </si>
  <si>
    <t>Bantul , 31 Mei 2026</t>
  </si>
  <si>
    <t>Periode 31  Mei  2026</t>
  </si>
  <si>
    <t>Periode 30 april  2026</t>
  </si>
  <si>
    <t>Bantul , 30 Juni 2026</t>
  </si>
  <si>
    <t>Bantul , 31 Juli 2026</t>
  </si>
  <si>
    <t>Periode 31 Juli  2026</t>
  </si>
  <si>
    <t>Periode 31 Agustus 2026</t>
  </si>
  <si>
    <t>Bantul , 31 Agustus  2026</t>
  </si>
  <si>
    <t>Bantul , 30 September  2026</t>
  </si>
  <si>
    <t>Periode 30 September 2026</t>
  </si>
  <si>
    <t>Periode 31 Oktober  2026</t>
  </si>
  <si>
    <t>Periode 30 Nopember   2026</t>
  </si>
  <si>
    <t>Bantul , 30 Nopember   2026</t>
  </si>
  <si>
    <t>Bantul , 31 Oktober 2026</t>
  </si>
  <si>
    <t>Periode 31 Desember   2026</t>
  </si>
  <si>
    <t>Bantul , 31 Desember 2026</t>
  </si>
  <si>
    <t>Pinjam pihak ke-3 (Dian)</t>
  </si>
  <si>
    <t>Print Warna dan Fotocopy Undangan</t>
  </si>
  <si>
    <t>Pembelian Snack Temu Mitra</t>
  </si>
  <si>
    <t>Terima diskon snack temu mitra</t>
  </si>
  <si>
    <t>cetak kartu anggota (50)</t>
  </si>
  <si>
    <t>Cetak dan Copy MoU</t>
  </si>
  <si>
    <t>Pembelian Pulsa Nomor KDMP</t>
  </si>
  <si>
    <t>Terima pinjaman pihak ke-3</t>
  </si>
  <si>
    <t>Biaya Konsumsi Rapat Koordinasi Pengurus</t>
  </si>
  <si>
    <t xml:space="preserve">Biaya cetak rekening koran </t>
  </si>
  <si>
    <t>Pinjaman pihak ke-3 tahun lalu</t>
  </si>
  <si>
    <t>Pinjaman pihak ke-3 saat ini</t>
  </si>
  <si>
    <t>Total Pinjaman Pihak ke-3</t>
  </si>
  <si>
    <t>Pembelian sapu dan tempat sampah</t>
  </si>
  <si>
    <t>Pinjaman pihak ke-3 tahun lalu hingga bulan lalu</t>
  </si>
  <si>
    <t>Total Pinjaman Pihak ke-3 sampai saat ini</t>
  </si>
  <si>
    <t>Biaya Konsumsi Persiapan RAT</t>
  </si>
  <si>
    <t>Biaya cetak laporan RAT</t>
  </si>
  <si>
    <t>Fotocopy formulir pendaftaran</t>
  </si>
  <si>
    <t>Terima laba pemesanan Buku Sabdodadi</t>
  </si>
  <si>
    <t>print Surat Pernyataan</t>
  </si>
  <si>
    <t>Terima laba Mitra Yudi Broiler</t>
  </si>
  <si>
    <t>Pengembalian pinjaman pihak ke-3</t>
  </si>
  <si>
    <t xml:space="preserve">BUKU KAS (OPERASIONAL)  </t>
  </si>
  <si>
    <t>BUKU KAS (OPERASIONAL)</t>
  </si>
  <si>
    <t>Fotocopy lampiran Konsumsi RAT</t>
  </si>
  <si>
    <t>Pembelian Map</t>
  </si>
  <si>
    <t>Terima Laba Buku Tabungan</t>
  </si>
  <si>
    <t xml:space="preserve">Biaya Rapat Pengurus </t>
  </si>
  <si>
    <t>Biaya Pembuatan Proposal Bioflok</t>
  </si>
  <si>
    <t xml:space="preserve">Terima Laba Bagi Hasil Pisang </t>
  </si>
  <si>
    <t>Pengembalian Pihak ke-3</t>
  </si>
  <si>
    <t>Cetak Print Rekening Bank</t>
  </si>
  <si>
    <t>Periode 30 juni   2026</t>
  </si>
  <si>
    <t>Total Biaya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</si>
</sst>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21]dd\ mmmm\ yyyy;@"/>
    <numFmt numFmtId="165" formatCode="dd/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44" fontId="0" fillId="3" borderId="1" xfId="1" applyFont="1" applyFill="1" applyBorder="1"/>
    <xf numFmtId="43" fontId="0" fillId="0" borderId="0" xfId="2" applyFont="1"/>
    <xf numFmtId="44" fontId="0" fillId="4" borderId="1" xfId="1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44" fontId="0" fillId="4" borderId="1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/>
    <xf numFmtId="44" fontId="0" fillId="4" borderId="0" xfId="0" applyNumberFormat="1" applyFill="1"/>
    <xf numFmtId="44" fontId="0" fillId="4" borderId="0" xfId="0" applyNumberFormat="1" applyFill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44" fontId="5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41" fontId="0" fillId="0" borderId="1" xfId="3" applyFont="1" applyBorder="1"/>
    <xf numFmtId="41" fontId="0" fillId="0" borderId="1" xfId="3" applyFont="1" applyFill="1" applyBorder="1"/>
    <xf numFmtId="41" fontId="0" fillId="0" borderId="1" xfId="3" applyFont="1" applyFill="1" applyBorder="1" applyAlignment="1">
      <alignment horizontal="center" vertical="center"/>
    </xf>
    <xf numFmtId="41" fontId="1" fillId="4" borderId="1" xfId="3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44" fontId="0" fillId="6" borderId="1" xfId="0" applyNumberFormat="1" applyFill="1" applyBorder="1" applyAlignment="1">
      <alignment vertical="center"/>
    </xf>
    <xf numFmtId="44" fontId="0" fillId="5" borderId="1" xfId="0" applyNumberFormat="1" applyFill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7" borderId="1" xfId="0" applyNumberFormat="1" applyFill="1" applyBorder="1" applyAlignment="1">
      <alignment vertical="center"/>
    </xf>
    <xf numFmtId="43" fontId="0" fillId="4" borderId="0" xfId="2" applyFont="1" applyFill="1"/>
    <xf numFmtId="43" fontId="0" fillId="4" borderId="0" xfId="0" applyNumberFormat="1" applyFill="1"/>
    <xf numFmtId="44" fontId="0" fillId="6" borderId="1" xfId="0" applyNumberFormat="1" applyFill="1" applyBorder="1"/>
    <xf numFmtId="41" fontId="0" fillId="4" borderId="0" xfId="0" applyNumberFormat="1" applyFill="1"/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4">
    <cellStyle name="Koma" xfId="2" builtinId="3"/>
    <cellStyle name="Koma [0] 2" xfId="3" xr:uid="{00000000-0005-0000-0000-000002000000}"/>
    <cellStyle name="Mata Uang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aoran%20Buku%20Kas%20Operasional%20KDMP%20Palbapang_Tahu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f7261dde601367/Dokumen/BA_2026/Laporan%20BA/KDMP%20Palbapang/Laporan%20Unit%20Usaha%20_KDMP_Palbapang%202026.xlsx" TargetMode="External"/><Relationship Id="rId1" Type="http://schemas.openxmlformats.org/officeDocument/2006/relationships/externalLinkPath" Target="Laporan%20Unit%20Usaha%20_KDMP_Palbapan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i"/>
      <sheetName val="Juli"/>
      <sheetName val="Agustus"/>
      <sheetName val="September"/>
      <sheetName val="Oktober"/>
      <sheetName val="Nopember "/>
      <sheetName val="Desemb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I7">
            <v>908425</v>
          </cell>
        </row>
        <row r="38">
          <cell r="E38">
            <v>2908525</v>
          </cell>
          <cell r="F38">
            <v>2908525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ILINK"/>
      <sheetName val="POSPAY"/>
      <sheetName val="BANEW"/>
      <sheetName val="GERAI KANTOR"/>
      <sheetName val="MITRA SPPG"/>
      <sheetName val="Agro Mandiri"/>
      <sheetName val="opersional (2)"/>
      <sheetName val="Laba Rug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39"/>
  <sheetViews>
    <sheetView topLeftCell="A2" zoomScale="84" zoomScaleNormal="84" workbookViewId="0">
      <selection activeCell="I13" sqref="I1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5.81640625" bestFit="1" customWidth="1"/>
    <col min="11" max="11" width="12.26953125" bestFit="1" customWidth="1"/>
  </cols>
  <sheetData>
    <row r="1" spans="1:10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0" ht="15.5" x14ac:dyDescent="0.35">
      <c r="A2" s="48" t="s">
        <v>61</v>
      </c>
      <c r="B2" s="48"/>
      <c r="C2" s="48"/>
      <c r="D2" s="48"/>
      <c r="E2" s="48"/>
      <c r="F2" s="48"/>
      <c r="G2" s="48"/>
      <c r="H2" s="48"/>
    </row>
    <row r="3" spans="1:10" ht="15.5" x14ac:dyDescent="0.35">
      <c r="A3" s="48" t="s">
        <v>14</v>
      </c>
      <c r="B3" s="48"/>
      <c r="C3" s="48"/>
      <c r="D3" s="48"/>
      <c r="E3" s="48"/>
      <c r="F3" s="48"/>
      <c r="G3" s="48"/>
      <c r="H3" s="48"/>
    </row>
    <row r="4" spans="1:10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0" s="11" customFormat="1" x14ac:dyDescent="0.35">
      <c r="A5" s="25">
        <v>1</v>
      </c>
      <c r="B5" s="20">
        <v>46023</v>
      </c>
      <c r="C5" s="21" t="s">
        <v>15</v>
      </c>
      <c r="D5" s="22"/>
      <c r="E5" s="23">
        <f>'[1]Desember '!$E$38</f>
        <v>2908525</v>
      </c>
      <c r="F5" s="23">
        <f>'[1]Desember '!$F$38</f>
        <v>2908525</v>
      </c>
      <c r="G5" s="23">
        <f>E5-F5</f>
        <v>0</v>
      </c>
      <c r="H5" s="34"/>
      <c r="I5" s="36">
        <f>'[1]Desember '!$I$7</f>
        <v>908425</v>
      </c>
      <c r="J5" s="11" t="s">
        <v>48</v>
      </c>
    </row>
    <row r="6" spans="1:10" s="13" customFormat="1" x14ac:dyDescent="0.35">
      <c r="A6" s="12">
        <v>2</v>
      </c>
      <c r="B6" s="26">
        <v>46023</v>
      </c>
      <c r="C6" s="27" t="s">
        <v>38</v>
      </c>
      <c r="D6" s="9"/>
      <c r="E6" s="33">
        <v>394900</v>
      </c>
      <c r="F6" s="33">
        <v>0</v>
      </c>
      <c r="G6" s="10">
        <f>G5+E6-F6</f>
        <v>394900</v>
      </c>
      <c r="H6" s="9"/>
      <c r="I6" s="37">
        <f>E6</f>
        <v>394900</v>
      </c>
      <c r="J6" s="13" t="s">
        <v>49</v>
      </c>
    </row>
    <row r="7" spans="1:10" s="13" customFormat="1" x14ac:dyDescent="0.35">
      <c r="A7" s="12">
        <v>3</v>
      </c>
      <c r="B7" s="28">
        <v>46028</v>
      </c>
      <c r="C7" s="1" t="s">
        <v>39</v>
      </c>
      <c r="D7" s="14"/>
      <c r="E7" s="31">
        <v>0</v>
      </c>
      <c r="F7" s="31">
        <v>15200</v>
      </c>
      <c r="G7" s="10">
        <f t="shared" ref="G7:G12" si="0">G6+E7-F7</f>
        <v>379700</v>
      </c>
      <c r="H7" s="14"/>
      <c r="I7" s="38">
        <f>I5+I6</f>
        <v>1303325</v>
      </c>
      <c r="J7" s="13" t="s">
        <v>50</v>
      </c>
    </row>
    <row r="8" spans="1:10" s="13" customFormat="1" x14ac:dyDescent="0.35">
      <c r="A8" s="12">
        <v>4</v>
      </c>
      <c r="B8" s="28">
        <v>46029</v>
      </c>
      <c r="C8" s="1" t="s">
        <v>40</v>
      </c>
      <c r="D8" s="14"/>
      <c r="E8" s="31">
        <v>0</v>
      </c>
      <c r="F8" s="31">
        <v>165000</v>
      </c>
      <c r="G8" s="10">
        <f t="shared" si="0"/>
        <v>214700</v>
      </c>
      <c r="H8" s="14"/>
    </row>
    <row r="9" spans="1:10" s="13" customFormat="1" x14ac:dyDescent="0.35">
      <c r="A9" s="12">
        <v>5</v>
      </c>
      <c r="B9" s="28">
        <v>46029</v>
      </c>
      <c r="C9" s="29" t="s">
        <v>41</v>
      </c>
      <c r="D9" s="14"/>
      <c r="E9" s="32">
        <v>15000</v>
      </c>
      <c r="F9" s="32">
        <v>0</v>
      </c>
      <c r="G9" s="10">
        <f t="shared" si="0"/>
        <v>229700</v>
      </c>
      <c r="H9" s="14"/>
    </row>
    <row r="10" spans="1:10" s="13" customFormat="1" x14ac:dyDescent="0.35">
      <c r="A10" s="12">
        <v>6</v>
      </c>
      <c r="B10" s="28">
        <v>46029</v>
      </c>
      <c r="C10" s="1" t="s">
        <v>42</v>
      </c>
      <c r="D10" s="14"/>
      <c r="E10" s="31">
        <v>0</v>
      </c>
      <c r="F10" s="31">
        <v>150000</v>
      </c>
      <c r="G10" s="10">
        <f t="shared" si="0"/>
        <v>79700</v>
      </c>
      <c r="H10" s="14"/>
    </row>
    <row r="11" spans="1:10" s="13" customFormat="1" x14ac:dyDescent="0.35">
      <c r="A11" s="12">
        <v>8</v>
      </c>
      <c r="B11" s="28">
        <v>46043</v>
      </c>
      <c r="C11" s="1" t="s">
        <v>43</v>
      </c>
      <c r="D11" s="14"/>
      <c r="E11" s="31">
        <v>0</v>
      </c>
      <c r="F11" s="31">
        <v>68000</v>
      </c>
      <c r="G11" s="10">
        <f t="shared" si="0"/>
        <v>11700</v>
      </c>
      <c r="H11" s="14"/>
    </row>
    <row r="12" spans="1:10" s="13" customFormat="1" x14ac:dyDescent="0.35">
      <c r="A12" s="12">
        <v>9</v>
      </c>
      <c r="B12" s="28">
        <v>46051</v>
      </c>
      <c r="C12" s="1" t="s">
        <v>44</v>
      </c>
      <c r="D12" s="14"/>
      <c r="E12" s="30">
        <v>0</v>
      </c>
      <c r="F12" s="30">
        <v>11700</v>
      </c>
      <c r="G12" s="10">
        <f t="shared" si="0"/>
        <v>0</v>
      </c>
      <c r="H12" s="14"/>
      <c r="I12" s="43">
        <f>F7+F8+F11+F12</f>
        <v>259900</v>
      </c>
    </row>
    <row r="13" spans="1:10" s="13" customFormat="1" x14ac:dyDescent="0.35">
      <c r="A13" s="12">
        <v>10</v>
      </c>
      <c r="B13" s="19"/>
      <c r="C13" s="14"/>
      <c r="D13" s="14"/>
      <c r="E13" s="6"/>
      <c r="F13" s="6"/>
      <c r="G13" s="10"/>
      <c r="H13" s="14"/>
    </row>
    <row r="14" spans="1:10" s="13" customFormat="1" x14ac:dyDescent="0.35">
      <c r="A14" s="12">
        <v>11</v>
      </c>
      <c r="B14" s="18"/>
      <c r="C14" s="14"/>
      <c r="D14" s="14"/>
      <c r="E14" s="6"/>
      <c r="F14" s="6"/>
      <c r="G14" s="6"/>
      <c r="H14" s="14"/>
    </row>
    <row r="15" spans="1:10" s="13" customFormat="1" x14ac:dyDescent="0.35">
      <c r="A15" s="12">
        <v>12</v>
      </c>
      <c r="B15" s="18"/>
      <c r="C15" s="14"/>
      <c r="D15" s="14"/>
      <c r="E15" s="6"/>
      <c r="F15" s="6"/>
      <c r="G15" s="6"/>
      <c r="H15" s="14"/>
    </row>
    <row r="16" spans="1:10" s="13" customFormat="1" x14ac:dyDescent="0.35">
      <c r="A16" s="12">
        <v>13</v>
      </c>
      <c r="B16" s="18"/>
      <c r="C16" s="14"/>
      <c r="D16" s="14"/>
      <c r="E16" s="6"/>
      <c r="F16" s="6"/>
      <c r="G16" s="6"/>
      <c r="H16" s="14"/>
    </row>
    <row r="17" spans="1:8" s="13" customFormat="1" x14ac:dyDescent="0.35">
      <c r="A17" s="12">
        <v>14</v>
      </c>
      <c r="B17" s="18"/>
      <c r="C17" s="14"/>
      <c r="D17" s="14"/>
      <c r="E17" s="6"/>
      <c r="F17" s="6"/>
      <c r="G17" s="6"/>
      <c r="H17" s="14"/>
    </row>
    <row r="18" spans="1:8" s="13" customFormat="1" x14ac:dyDescent="0.35">
      <c r="A18" s="12">
        <v>15</v>
      </c>
      <c r="B18" s="18"/>
      <c r="C18" s="14"/>
      <c r="D18" s="14"/>
      <c r="E18" s="6"/>
      <c r="F18" s="6"/>
      <c r="G18" s="6"/>
      <c r="H18" s="14"/>
    </row>
    <row r="19" spans="1:8" s="13" customFormat="1" x14ac:dyDescent="0.35">
      <c r="A19" s="12">
        <v>16</v>
      </c>
      <c r="B19" s="18"/>
      <c r="C19" s="14"/>
      <c r="D19" s="14"/>
      <c r="E19" s="6"/>
      <c r="F19" s="6"/>
      <c r="G19" s="6"/>
      <c r="H19" s="14"/>
    </row>
    <row r="20" spans="1:8" s="13" customFormat="1" x14ac:dyDescent="0.35">
      <c r="A20" s="12">
        <v>17</v>
      </c>
      <c r="B20" s="18"/>
      <c r="C20" s="14"/>
      <c r="D20" s="14"/>
      <c r="E20" s="6"/>
      <c r="F20" s="6"/>
      <c r="G20" s="6"/>
      <c r="H20" s="14"/>
    </row>
    <row r="21" spans="1:8" s="13" customFormat="1" x14ac:dyDescent="0.35">
      <c r="A21" s="12">
        <v>18</v>
      </c>
      <c r="B21" s="18"/>
      <c r="C21" s="14"/>
      <c r="D21" s="14"/>
      <c r="E21" s="6"/>
      <c r="F21" s="6"/>
      <c r="G21" s="6"/>
      <c r="H21" s="14"/>
    </row>
    <row r="22" spans="1:8" s="13" customFormat="1" x14ac:dyDescent="0.35">
      <c r="A22" s="12">
        <v>19</v>
      </c>
      <c r="B22" s="18"/>
      <c r="C22" s="14"/>
      <c r="D22" s="14"/>
      <c r="E22" s="6"/>
      <c r="F22" s="6"/>
      <c r="G22" s="6"/>
      <c r="H22" s="14"/>
    </row>
    <row r="23" spans="1:8" s="13" customFormat="1" x14ac:dyDescent="0.35">
      <c r="A23" s="12">
        <v>20</v>
      </c>
      <c r="B23" s="18"/>
      <c r="C23" s="14"/>
      <c r="D23" s="14"/>
      <c r="E23" s="6"/>
      <c r="F23" s="6"/>
      <c r="G23" s="6"/>
      <c r="H23" s="14"/>
    </row>
    <row r="24" spans="1:8" s="13" customFormat="1" x14ac:dyDescent="0.35">
      <c r="A24" s="12">
        <v>21</v>
      </c>
      <c r="B24" s="18"/>
      <c r="C24" s="14"/>
      <c r="D24" s="14"/>
      <c r="E24" s="6"/>
      <c r="F24" s="6"/>
      <c r="G24" s="6"/>
      <c r="H24" s="14"/>
    </row>
    <row r="25" spans="1:8" s="13" customFormat="1" x14ac:dyDescent="0.35">
      <c r="A25" s="12">
        <v>22</v>
      </c>
      <c r="B25" s="18"/>
      <c r="C25" s="14"/>
      <c r="D25" s="14"/>
      <c r="E25" s="6"/>
      <c r="F25" s="6"/>
      <c r="G25" s="6"/>
      <c r="H25" s="14"/>
    </row>
    <row r="26" spans="1:8" s="13" customFormat="1" x14ac:dyDescent="0.35">
      <c r="A26" s="12">
        <v>23</v>
      </c>
      <c r="B26" s="18"/>
      <c r="C26" s="14"/>
      <c r="D26" s="14"/>
      <c r="E26" s="6"/>
      <c r="F26" s="6"/>
      <c r="G26" s="6"/>
      <c r="H26" s="14"/>
    </row>
    <row r="27" spans="1:8" s="13" customFormat="1" x14ac:dyDescent="0.35">
      <c r="A27" s="12">
        <v>24</v>
      </c>
      <c r="B27" s="18"/>
      <c r="C27" s="14"/>
      <c r="D27" s="14"/>
      <c r="E27" s="6"/>
      <c r="F27" s="6"/>
      <c r="G27" s="6"/>
      <c r="H27" s="14"/>
    </row>
    <row r="28" spans="1:8" s="13" customFormat="1" x14ac:dyDescent="0.35">
      <c r="A28" s="12">
        <v>25</v>
      </c>
      <c r="B28" s="18"/>
      <c r="C28" s="14"/>
      <c r="D28" s="14"/>
      <c r="E28" s="6"/>
      <c r="F28" s="6"/>
      <c r="G28" s="6"/>
      <c r="H28" s="14"/>
    </row>
    <row r="29" spans="1:8" s="13" customFormat="1" x14ac:dyDescent="0.35">
      <c r="A29" s="12">
        <v>26</v>
      </c>
      <c r="B29" s="18"/>
      <c r="C29" s="14"/>
      <c r="D29" s="14"/>
      <c r="E29" s="6"/>
      <c r="F29" s="6"/>
      <c r="G29" s="6"/>
      <c r="H29" s="14"/>
    </row>
    <row r="30" spans="1:8" s="13" customFormat="1" x14ac:dyDescent="0.35">
      <c r="A30" s="12">
        <v>27</v>
      </c>
      <c r="B30" s="18"/>
      <c r="C30" s="14"/>
      <c r="D30" s="14"/>
      <c r="E30" s="6"/>
      <c r="F30" s="6"/>
      <c r="G30" s="6"/>
      <c r="H30" s="14"/>
    </row>
    <row r="31" spans="1:8" s="13" customFormat="1" x14ac:dyDescent="0.35">
      <c r="A31" s="12">
        <v>28</v>
      </c>
      <c r="B31" s="18"/>
      <c r="C31" s="14"/>
      <c r="D31" s="14"/>
      <c r="E31" s="6"/>
      <c r="F31" s="6"/>
      <c r="G31" s="6"/>
      <c r="H31" s="14"/>
    </row>
    <row r="32" spans="1:8" s="13" customFormat="1" x14ac:dyDescent="0.35">
      <c r="A32" s="12">
        <v>29</v>
      </c>
      <c r="B32" s="18"/>
      <c r="C32" s="14"/>
      <c r="D32" s="14"/>
      <c r="E32" s="6"/>
      <c r="F32" s="6"/>
      <c r="G32" s="6"/>
      <c r="H32" s="14"/>
    </row>
    <row r="33" spans="1:9" s="13" customFormat="1" x14ac:dyDescent="0.35">
      <c r="A33" s="12">
        <v>30</v>
      </c>
      <c r="B33" s="18"/>
      <c r="C33" s="14"/>
      <c r="D33" s="14"/>
      <c r="E33" s="6"/>
      <c r="F33" s="6"/>
      <c r="G33" s="6"/>
      <c r="H33" s="14"/>
    </row>
    <row r="34" spans="1:9" x14ac:dyDescent="0.35">
      <c r="A34" s="44" t="s">
        <v>5</v>
      </c>
      <c r="B34" s="45"/>
      <c r="C34" s="46"/>
      <c r="D34" s="3"/>
      <c r="E34" s="4">
        <f>SUM(E6:E33)</f>
        <v>409900</v>
      </c>
      <c r="F34" s="4">
        <f>SUM(F6:F33)</f>
        <v>409900</v>
      </c>
      <c r="G34" s="4">
        <f>F34-E34</f>
        <v>0</v>
      </c>
      <c r="H34" s="1"/>
    </row>
    <row r="35" spans="1:9" x14ac:dyDescent="0.35">
      <c r="A35" s="44" t="s">
        <v>6</v>
      </c>
      <c r="B35" s="45"/>
      <c r="C35" s="46"/>
      <c r="D35" s="3"/>
      <c r="E35" s="4">
        <f>E5+E34</f>
        <v>3318425</v>
      </c>
      <c r="F35" s="4">
        <f>F5+F34</f>
        <v>3318425</v>
      </c>
      <c r="G35" s="4">
        <f>G5+G34</f>
        <v>0</v>
      </c>
      <c r="H35" s="1"/>
    </row>
    <row r="36" spans="1:9" x14ac:dyDescent="0.35">
      <c r="A36" s="44" t="s">
        <v>7</v>
      </c>
      <c r="B36" s="45"/>
      <c r="C36" s="46"/>
      <c r="D36" s="3"/>
      <c r="E36" s="4">
        <f t="shared" ref="E36:G36" si="1">E35</f>
        <v>3318425</v>
      </c>
      <c r="F36" s="4">
        <f t="shared" si="1"/>
        <v>3318425</v>
      </c>
      <c r="G36" s="4">
        <f t="shared" si="1"/>
        <v>0</v>
      </c>
      <c r="H36" s="1"/>
      <c r="I36" s="5">
        <f>2477500-1782500</f>
        <v>695000</v>
      </c>
    </row>
    <row r="38" spans="1:9" x14ac:dyDescent="0.35">
      <c r="F38" s="47" t="s">
        <v>16</v>
      </c>
      <c r="G38" s="47"/>
      <c r="H38" s="47"/>
    </row>
    <row r="39" spans="1:9" x14ac:dyDescent="0.35">
      <c r="F39" s="47" t="s">
        <v>12</v>
      </c>
      <c r="G39" s="47"/>
      <c r="H39" s="47"/>
    </row>
  </sheetData>
  <mergeCells count="8">
    <mergeCell ref="F39:H39"/>
    <mergeCell ref="A34:C34"/>
    <mergeCell ref="A35:C35"/>
    <mergeCell ref="A36:C36"/>
    <mergeCell ref="A1:H1"/>
    <mergeCell ref="A2:H2"/>
    <mergeCell ref="A3:H3"/>
    <mergeCell ref="F38:H38"/>
  </mergeCells>
  <phoneticPr fontId="4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50"/>
  <sheetViews>
    <sheetView zoomScale="91" zoomScaleNormal="91" workbookViewId="0">
      <selection activeCell="I14" sqref="I14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7.453125" customWidth="1"/>
    <col min="10" max="10" width="20.81640625" customWidth="1"/>
    <col min="11" max="11" width="12.26953125" bestFit="1" customWidth="1"/>
  </cols>
  <sheetData>
    <row r="1" spans="1:10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0" ht="15.5" x14ac:dyDescent="0.35">
      <c r="A2" s="48" t="s">
        <v>61</v>
      </c>
      <c r="B2" s="48"/>
      <c r="C2" s="48"/>
      <c r="D2" s="48"/>
      <c r="E2" s="48"/>
      <c r="F2" s="48"/>
      <c r="G2" s="48"/>
      <c r="H2" s="48"/>
    </row>
    <row r="3" spans="1:10" ht="15.5" x14ac:dyDescent="0.35">
      <c r="A3" s="48" t="s">
        <v>18</v>
      </c>
      <c r="B3" s="48"/>
      <c r="C3" s="48"/>
      <c r="D3" s="48"/>
      <c r="E3" s="48"/>
      <c r="F3" s="48"/>
      <c r="G3" s="48"/>
      <c r="H3" s="48"/>
    </row>
    <row r="4" spans="1:10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0" s="11" customFormat="1" x14ac:dyDescent="0.35">
      <c r="A5" s="7">
        <v>1</v>
      </c>
      <c r="B5" s="20">
        <v>46054</v>
      </c>
      <c r="C5" s="21" t="s">
        <v>13</v>
      </c>
      <c r="D5" s="22"/>
      <c r="E5" s="23">
        <f>Januari!E36</f>
        <v>3318425</v>
      </c>
      <c r="F5" s="23">
        <f>Januari!F36</f>
        <v>3318425</v>
      </c>
      <c r="G5" s="23">
        <f>Januari!G36</f>
        <v>0</v>
      </c>
      <c r="H5" s="24"/>
      <c r="I5" s="36">
        <f>Januari!I7</f>
        <v>1303325</v>
      </c>
      <c r="J5" s="11" t="s">
        <v>52</v>
      </c>
    </row>
    <row r="6" spans="1:10" s="13" customFormat="1" x14ac:dyDescent="0.35">
      <c r="A6" s="12">
        <v>2</v>
      </c>
      <c r="B6" s="35">
        <v>46054</v>
      </c>
      <c r="C6" s="8" t="s">
        <v>45</v>
      </c>
      <c r="D6" s="9"/>
      <c r="E6" s="10">
        <v>189200</v>
      </c>
      <c r="F6" s="10">
        <v>0</v>
      </c>
      <c r="G6" s="10">
        <f>G5+E6-F6</f>
        <v>189200</v>
      </c>
      <c r="H6" s="9"/>
      <c r="I6" s="37">
        <f>E6</f>
        <v>189200</v>
      </c>
      <c r="J6" s="13" t="s">
        <v>49</v>
      </c>
    </row>
    <row r="7" spans="1:10" s="13" customFormat="1" x14ac:dyDescent="0.35">
      <c r="A7" s="12">
        <v>3</v>
      </c>
      <c r="B7" s="35">
        <v>46055</v>
      </c>
      <c r="C7" s="14" t="s">
        <v>56</v>
      </c>
      <c r="D7" s="14"/>
      <c r="E7" s="6">
        <v>0</v>
      </c>
      <c r="F7" s="6">
        <v>3000</v>
      </c>
      <c r="G7" s="10">
        <f t="shared" ref="G7:G44" si="0">G6+E7-F7</f>
        <v>186200</v>
      </c>
      <c r="H7" s="14"/>
      <c r="I7" s="38">
        <f>I5+I6</f>
        <v>1492525</v>
      </c>
      <c r="J7" s="13" t="s">
        <v>53</v>
      </c>
    </row>
    <row r="8" spans="1:10" s="13" customFormat="1" x14ac:dyDescent="0.35">
      <c r="A8" s="12">
        <v>4</v>
      </c>
      <c r="B8" s="35">
        <v>46057</v>
      </c>
      <c r="C8" s="14" t="s">
        <v>46</v>
      </c>
      <c r="D8" s="14"/>
      <c r="E8" s="6">
        <v>0</v>
      </c>
      <c r="F8" s="6">
        <v>72000</v>
      </c>
      <c r="G8" s="10">
        <f t="shared" si="0"/>
        <v>114200</v>
      </c>
      <c r="H8" s="14"/>
    </row>
    <row r="9" spans="1:10" s="13" customFormat="1" x14ac:dyDescent="0.35">
      <c r="A9" s="12">
        <v>5</v>
      </c>
      <c r="B9" s="35">
        <v>46057</v>
      </c>
      <c r="C9" s="14" t="s">
        <v>47</v>
      </c>
      <c r="D9" s="14"/>
      <c r="E9" s="6">
        <v>0</v>
      </c>
      <c r="F9" s="6">
        <v>35000</v>
      </c>
      <c r="G9" s="10">
        <f t="shared" si="0"/>
        <v>79200</v>
      </c>
      <c r="H9" s="14"/>
    </row>
    <row r="10" spans="1:10" s="13" customFormat="1" x14ac:dyDescent="0.35">
      <c r="A10" s="12">
        <v>6</v>
      </c>
      <c r="B10" s="35">
        <v>46057</v>
      </c>
      <c r="C10" s="14" t="s">
        <v>51</v>
      </c>
      <c r="D10" s="14"/>
      <c r="E10" s="6">
        <v>0</v>
      </c>
      <c r="F10" s="6">
        <v>23000</v>
      </c>
      <c r="G10" s="10">
        <f t="shared" si="0"/>
        <v>56200</v>
      </c>
      <c r="H10" s="14"/>
    </row>
    <row r="11" spans="1:10" s="13" customFormat="1" x14ac:dyDescent="0.35">
      <c r="A11" s="12">
        <v>7</v>
      </c>
      <c r="B11" s="35">
        <v>46060</v>
      </c>
      <c r="C11" s="14" t="s">
        <v>57</v>
      </c>
      <c r="D11" s="14"/>
      <c r="E11" s="6">
        <v>48000</v>
      </c>
      <c r="F11" s="6">
        <v>0</v>
      </c>
      <c r="G11" s="10">
        <f t="shared" si="0"/>
        <v>104200</v>
      </c>
      <c r="H11" s="14"/>
    </row>
    <row r="12" spans="1:10" s="13" customFormat="1" x14ac:dyDescent="0.35">
      <c r="A12" s="12">
        <v>8</v>
      </c>
      <c r="B12" s="35">
        <v>46064</v>
      </c>
      <c r="C12" s="14" t="s">
        <v>54</v>
      </c>
      <c r="D12" s="14"/>
      <c r="E12" s="6">
        <v>0</v>
      </c>
      <c r="F12" s="6">
        <v>77000</v>
      </c>
      <c r="G12" s="10">
        <f t="shared" si="0"/>
        <v>27200</v>
      </c>
      <c r="H12" s="14"/>
    </row>
    <row r="13" spans="1:10" s="13" customFormat="1" x14ac:dyDescent="0.35">
      <c r="A13" s="12">
        <v>9</v>
      </c>
      <c r="B13" s="35">
        <v>46065</v>
      </c>
      <c r="C13" s="14" t="s">
        <v>55</v>
      </c>
      <c r="D13" s="14"/>
      <c r="E13" s="6">
        <v>0</v>
      </c>
      <c r="F13" s="6">
        <v>27200</v>
      </c>
      <c r="G13" s="10">
        <f t="shared" si="0"/>
        <v>0</v>
      </c>
      <c r="H13" s="14"/>
      <c r="I13" s="16">
        <f>F7+F8+F9+F10+F12+F13</f>
        <v>237200</v>
      </c>
    </row>
    <row r="14" spans="1:10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10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10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/>
      <c r="K44" s="16"/>
    </row>
    <row r="45" spans="1:11" x14ac:dyDescent="0.35">
      <c r="A45" s="44" t="s">
        <v>5</v>
      </c>
      <c r="B45" s="45"/>
      <c r="C45" s="46"/>
      <c r="D45" s="3"/>
      <c r="E45" s="4">
        <f>SUM(E6:E44)</f>
        <v>237200</v>
      </c>
      <c r="F45" s="4">
        <f>SUM(F6:F44)</f>
        <v>237200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3555625</v>
      </c>
      <c r="F46" s="4">
        <f t="shared" ref="F46:G46" si="1">F5+F45</f>
        <v>3555625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>E46</f>
        <v>3555625</v>
      </c>
      <c r="F47" s="4">
        <f t="shared" ref="F47:G47" si="2">F46</f>
        <v>3555625</v>
      </c>
      <c r="G47" s="4">
        <f t="shared" si="2"/>
        <v>0</v>
      </c>
      <c r="H47" s="1"/>
      <c r="I47" s="5"/>
    </row>
    <row r="49" spans="6:8" x14ac:dyDescent="0.35">
      <c r="F49" s="47" t="s">
        <v>19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50"/>
  <sheetViews>
    <sheetView topLeftCell="D1" zoomScale="129" workbookViewId="0">
      <selection activeCell="E31" sqref="E31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6.26953125" bestFit="1" customWidth="1"/>
    <col min="11" max="11" width="12.26953125" bestFit="1" customWidth="1"/>
  </cols>
  <sheetData>
    <row r="1" spans="1:10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0" ht="15.5" x14ac:dyDescent="0.35">
      <c r="A2" s="48" t="s">
        <v>62</v>
      </c>
      <c r="B2" s="48"/>
      <c r="C2" s="48"/>
      <c r="D2" s="48"/>
      <c r="E2" s="48"/>
      <c r="F2" s="48"/>
      <c r="G2" s="48"/>
      <c r="H2" s="48"/>
    </row>
    <row r="3" spans="1:10" ht="15.5" x14ac:dyDescent="0.35">
      <c r="A3" s="48" t="s">
        <v>17</v>
      </c>
      <c r="B3" s="48"/>
      <c r="C3" s="48"/>
      <c r="D3" s="48"/>
      <c r="E3" s="48"/>
      <c r="F3" s="48"/>
      <c r="G3" s="48"/>
      <c r="H3" s="48"/>
    </row>
    <row r="4" spans="1:10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0" s="11" customFormat="1" x14ac:dyDescent="0.35">
      <c r="A5" s="7">
        <v>1</v>
      </c>
      <c r="B5" s="20">
        <v>46082</v>
      </c>
      <c r="C5" s="21" t="s">
        <v>13</v>
      </c>
      <c r="D5" s="22"/>
      <c r="E5" s="23">
        <f>Pebruari!E47</f>
        <v>3555625</v>
      </c>
      <c r="F5" s="23">
        <f>Pebruari!F47</f>
        <v>3555625</v>
      </c>
      <c r="G5" s="23">
        <f>Pebruari!G47</f>
        <v>0</v>
      </c>
      <c r="H5" s="24"/>
      <c r="I5" s="36">
        <f>Pebruari!I7</f>
        <v>1492525</v>
      </c>
      <c r="J5" s="11" t="s">
        <v>52</v>
      </c>
    </row>
    <row r="6" spans="1:10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7"/>
      <c r="I6" s="37">
        <f>E6</f>
        <v>0</v>
      </c>
      <c r="J6" s="13" t="s">
        <v>49</v>
      </c>
    </row>
    <row r="7" spans="1:10" s="13" customFormat="1" x14ac:dyDescent="0.35">
      <c r="A7" s="12">
        <v>3</v>
      </c>
      <c r="B7" s="19"/>
      <c r="C7" s="8"/>
      <c r="D7" s="14"/>
      <c r="E7" s="6"/>
      <c r="F7" s="6"/>
      <c r="G7" s="10">
        <f t="shared" ref="G7:G44" si="0">G6+E7-F7</f>
        <v>0</v>
      </c>
      <c r="H7" s="14"/>
      <c r="I7" s="38">
        <f>I5+I6</f>
        <v>1492525</v>
      </c>
      <c r="J7" s="13" t="s">
        <v>53</v>
      </c>
    </row>
    <row r="8" spans="1:10" s="13" customFormat="1" x14ac:dyDescent="0.35">
      <c r="A8" s="12">
        <v>4</v>
      </c>
      <c r="B8" s="19"/>
      <c r="C8" s="8"/>
      <c r="D8" s="14"/>
      <c r="E8" s="6"/>
      <c r="F8" s="6"/>
      <c r="G8" s="10">
        <f t="shared" si="0"/>
        <v>0</v>
      </c>
      <c r="H8" s="14"/>
    </row>
    <row r="9" spans="1:10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10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10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10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10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10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10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10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3555625</v>
      </c>
      <c r="F46" s="4">
        <f t="shared" ref="F46:G46" si="1">F5+F45</f>
        <v>3555625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3555625</v>
      </c>
      <c r="F47" s="4">
        <f t="shared" si="2"/>
        <v>3555625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20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50"/>
  <sheetViews>
    <sheetView topLeftCell="C1" zoomScale="129" workbookViewId="0">
      <selection activeCell="I15" sqref="I15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6.26953125" bestFit="1" customWidth="1"/>
    <col min="11" max="11" width="12.26953125" bestFit="1" customWidth="1"/>
  </cols>
  <sheetData>
    <row r="1" spans="1:10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0" ht="15.5" x14ac:dyDescent="0.35">
      <c r="A2" s="48" t="s">
        <v>61</v>
      </c>
      <c r="B2" s="48"/>
      <c r="C2" s="48"/>
      <c r="D2" s="48"/>
      <c r="E2" s="48"/>
      <c r="F2" s="48"/>
      <c r="G2" s="48"/>
      <c r="H2" s="48"/>
    </row>
    <row r="3" spans="1:10" ht="15.5" x14ac:dyDescent="0.35">
      <c r="A3" s="48" t="s">
        <v>24</v>
      </c>
      <c r="B3" s="48"/>
      <c r="C3" s="48"/>
      <c r="D3" s="48"/>
      <c r="E3" s="48"/>
      <c r="F3" s="48"/>
      <c r="G3" s="48"/>
      <c r="H3" s="48"/>
    </row>
    <row r="4" spans="1:10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0" s="11" customFormat="1" x14ac:dyDescent="0.35">
      <c r="A5" s="7">
        <v>1</v>
      </c>
      <c r="B5" s="20">
        <v>46113</v>
      </c>
      <c r="C5" s="21" t="s">
        <v>13</v>
      </c>
      <c r="D5" s="22"/>
      <c r="E5" s="23">
        <f>Maret!E47</f>
        <v>3555625</v>
      </c>
      <c r="F5" s="23">
        <f>Maret!F47</f>
        <v>3555625</v>
      </c>
      <c r="G5" s="23">
        <f>Maret!G47</f>
        <v>0</v>
      </c>
      <c r="H5" s="24"/>
      <c r="I5" s="36">
        <f>Pebruari!I7</f>
        <v>1492525</v>
      </c>
      <c r="J5" s="11" t="s">
        <v>52</v>
      </c>
    </row>
    <row r="6" spans="1:10" s="13" customFormat="1" x14ac:dyDescent="0.35">
      <c r="A6" s="12">
        <v>2</v>
      </c>
      <c r="B6" s="19">
        <v>46125</v>
      </c>
      <c r="C6" s="8" t="s">
        <v>45</v>
      </c>
      <c r="D6" s="9"/>
      <c r="E6" s="10">
        <v>2000</v>
      </c>
      <c r="F6" s="10"/>
      <c r="G6" s="10">
        <f>G5+E6-F6</f>
        <v>2000</v>
      </c>
      <c r="H6" s="9"/>
      <c r="I6" s="37">
        <f>E6</f>
        <v>2000</v>
      </c>
      <c r="J6" s="13" t="s">
        <v>49</v>
      </c>
    </row>
    <row r="7" spans="1:10" s="13" customFormat="1" x14ac:dyDescent="0.35">
      <c r="A7" s="12">
        <v>3</v>
      </c>
      <c r="B7" s="19">
        <v>46125</v>
      </c>
      <c r="C7" s="8" t="s">
        <v>58</v>
      </c>
      <c r="D7" s="9"/>
      <c r="E7" s="10">
        <v>0</v>
      </c>
      <c r="F7" s="10">
        <v>2000</v>
      </c>
      <c r="G7" s="10">
        <f t="shared" ref="G7:G43" si="0">G6+E7-F7</f>
        <v>0</v>
      </c>
      <c r="H7" s="14"/>
      <c r="I7" s="39">
        <f>F9+F11</f>
        <v>140000</v>
      </c>
      <c r="J7" s="13" t="s">
        <v>60</v>
      </c>
    </row>
    <row r="8" spans="1:10" s="13" customFormat="1" x14ac:dyDescent="0.35">
      <c r="A8" s="12">
        <v>4</v>
      </c>
      <c r="B8" s="19">
        <v>46132</v>
      </c>
      <c r="C8" s="14" t="s">
        <v>59</v>
      </c>
      <c r="D8" s="14"/>
      <c r="E8" s="6">
        <v>80000</v>
      </c>
      <c r="F8" s="6">
        <v>0</v>
      </c>
      <c r="G8" s="10">
        <f t="shared" si="0"/>
        <v>80000</v>
      </c>
      <c r="H8" s="14"/>
      <c r="I8" s="38">
        <f>I5+I6-I7</f>
        <v>1354525</v>
      </c>
      <c r="J8" s="13" t="s">
        <v>53</v>
      </c>
    </row>
    <row r="9" spans="1:10" s="13" customFormat="1" x14ac:dyDescent="0.35">
      <c r="A9" s="12">
        <v>5</v>
      </c>
      <c r="B9" s="19">
        <v>46132</v>
      </c>
      <c r="C9" s="14" t="s">
        <v>60</v>
      </c>
      <c r="D9" s="14"/>
      <c r="E9" s="6">
        <v>0</v>
      </c>
      <c r="F9" s="6">
        <v>80000</v>
      </c>
      <c r="G9" s="10">
        <f t="shared" si="0"/>
        <v>0</v>
      </c>
      <c r="H9" s="14"/>
    </row>
    <row r="10" spans="1:10" s="13" customFormat="1" x14ac:dyDescent="0.35">
      <c r="A10" s="12">
        <v>6</v>
      </c>
      <c r="B10" s="19">
        <v>46140</v>
      </c>
      <c r="C10" s="14" t="s">
        <v>59</v>
      </c>
      <c r="D10" s="14"/>
      <c r="E10" s="6">
        <v>60000</v>
      </c>
      <c r="F10" s="6">
        <v>0</v>
      </c>
      <c r="G10" s="10">
        <f t="shared" si="0"/>
        <v>60000</v>
      </c>
      <c r="H10" s="14"/>
      <c r="I10" s="40">
        <v>1492525</v>
      </c>
    </row>
    <row r="11" spans="1:10" s="13" customFormat="1" x14ac:dyDescent="0.35">
      <c r="A11" s="12">
        <v>7</v>
      </c>
      <c r="B11" s="19">
        <v>46140</v>
      </c>
      <c r="C11" s="14" t="s">
        <v>60</v>
      </c>
      <c r="D11" s="14"/>
      <c r="E11" s="6">
        <v>0</v>
      </c>
      <c r="F11" s="6">
        <v>60000</v>
      </c>
      <c r="G11" s="10">
        <f t="shared" si="0"/>
        <v>0</v>
      </c>
      <c r="H11" s="14"/>
      <c r="I11" s="40">
        <v>2000</v>
      </c>
    </row>
    <row r="12" spans="1:10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  <c r="I12" s="40">
        <f>SUM(I10:I11)</f>
        <v>1494525</v>
      </c>
    </row>
    <row r="13" spans="1:10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  <c r="I13" s="40">
        <f>'[2]MITRA SPPG'!$I$14</f>
        <v>0</v>
      </c>
    </row>
    <row r="14" spans="1:10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  <c r="I14" s="40">
        <f>I12-I13</f>
        <v>1494525</v>
      </c>
    </row>
    <row r="15" spans="1:10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  <c r="I15" s="40"/>
    </row>
    <row r="16" spans="1:10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  <c r="I16" s="40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9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9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9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9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9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9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9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ref="G44" si="1">G43+E44+F44</f>
        <v>0</v>
      </c>
      <c r="H44" s="14"/>
      <c r="I44" s="16">
        <f>SUM(E7:E44)</f>
        <v>140000</v>
      </c>
      <c r="J44" s="13">
        <f>1782500</f>
        <v>1782500</v>
      </c>
      <c r="K44" s="16">
        <f>I44-J44</f>
        <v>-1642500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142000</v>
      </c>
      <c r="F45" s="4">
        <f>SUM(F6:F44)</f>
        <v>142000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3697625</v>
      </c>
      <c r="F46" s="4">
        <f t="shared" ref="F46:G46" si="2">F5+F45</f>
        <v>3697625</v>
      </c>
      <c r="G46" s="4">
        <f t="shared" si="2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3">E46</f>
        <v>3697625</v>
      </c>
      <c r="F47" s="4">
        <f t="shared" si="3"/>
        <v>3697625</v>
      </c>
      <c r="G47" s="4">
        <f t="shared" si="3"/>
        <v>0</v>
      </c>
      <c r="H47" s="1"/>
      <c r="I47" s="5">
        <f>2477500-1782500</f>
        <v>695000</v>
      </c>
    </row>
    <row r="49" spans="6:8" x14ac:dyDescent="0.35">
      <c r="F49" s="47" t="s">
        <v>21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8">
    <mergeCell ref="A47:C47"/>
    <mergeCell ref="F49:H49"/>
    <mergeCell ref="F50:H50"/>
    <mergeCell ref="A1:H1"/>
    <mergeCell ref="A2:H2"/>
    <mergeCell ref="A3:H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50"/>
  <sheetViews>
    <sheetView topLeftCell="A2" zoomScale="129" workbookViewId="0">
      <selection activeCell="I13" sqref="I1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6.26953125" bestFit="1" customWidth="1"/>
    <col min="11" max="11" width="12.26953125" bestFit="1" customWidth="1"/>
  </cols>
  <sheetData>
    <row r="1" spans="1:12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2" ht="15.5" x14ac:dyDescent="0.35">
      <c r="A2" s="48" t="str">
        <f>Januari!A2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12" ht="15.5" x14ac:dyDescent="0.35">
      <c r="A3" s="48" t="s">
        <v>23</v>
      </c>
      <c r="B3" s="48"/>
      <c r="C3" s="48"/>
      <c r="D3" s="48"/>
      <c r="E3" s="48"/>
      <c r="F3" s="48"/>
      <c r="G3" s="48"/>
      <c r="H3" s="48"/>
    </row>
    <row r="4" spans="1:12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2" s="11" customFormat="1" x14ac:dyDescent="0.35">
      <c r="A5" s="7">
        <v>1</v>
      </c>
      <c r="B5" s="20">
        <v>46143</v>
      </c>
      <c r="C5" s="21" t="s">
        <v>13</v>
      </c>
      <c r="D5" s="22"/>
      <c r="E5" s="23">
        <f>April!E47</f>
        <v>3697625</v>
      </c>
      <c r="F5" s="23">
        <f>April!F47</f>
        <v>3697625</v>
      </c>
      <c r="G5" s="23">
        <f>April!G47</f>
        <v>0</v>
      </c>
      <c r="H5" s="24"/>
      <c r="I5" s="17">
        <f>G5*5%</f>
        <v>0</v>
      </c>
    </row>
    <row r="6" spans="1:12" s="13" customFormat="1" x14ac:dyDescent="0.35">
      <c r="A6" s="12">
        <v>2</v>
      </c>
      <c r="B6" s="19">
        <v>46150</v>
      </c>
      <c r="C6" s="14" t="s">
        <v>59</v>
      </c>
      <c r="D6" s="14"/>
      <c r="E6" s="6">
        <v>75000</v>
      </c>
      <c r="F6" s="6">
        <v>0</v>
      </c>
      <c r="G6" s="10">
        <f>G5+E6-F6</f>
        <v>75000</v>
      </c>
      <c r="H6" s="9"/>
      <c r="I6" s="36">
        <f>April!I8</f>
        <v>1354525</v>
      </c>
      <c r="J6" s="11" t="s">
        <v>52</v>
      </c>
      <c r="K6" s="11"/>
      <c r="L6" s="11"/>
    </row>
    <row r="7" spans="1:12" s="13" customFormat="1" x14ac:dyDescent="0.35">
      <c r="A7" s="12">
        <v>3</v>
      </c>
      <c r="B7" s="19">
        <v>46150</v>
      </c>
      <c r="C7" s="14" t="s">
        <v>60</v>
      </c>
      <c r="D7" s="14"/>
      <c r="E7" s="6">
        <v>0</v>
      </c>
      <c r="F7" s="6">
        <v>75000</v>
      </c>
      <c r="G7" s="10">
        <f t="shared" ref="G7:G44" si="0">G6+E7-F7</f>
        <v>0</v>
      </c>
      <c r="H7" s="14"/>
      <c r="I7" s="37">
        <f>E7</f>
        <v>0</v>
      </c>
      <c r="J7" s="13" t="s">
        <v>49</v>
      </c>
    </row>
    <row r="8" spans="1:12" s="13" customFormat="1" x14ac:dyDescent="0.35">
      <c r="A8" s="12">
        <v>4</v>
      </c>
      <c r="B8" s="19">
        <v>46159</v>
      </c>
      <c r="C8" s="14" t="s">
        <v>59</v>
      </c>
      <c r="D8" s="14"/>
      <c r="E8" s="6">
        <v>80000</v>
      </c>
      <c r="F8" s="6">
        <v>0</v>
      </c>
      <c r="G8" s="10">
        <f t="shared" si="0"/>
        <v>80000</v>
      </c>
      <c r="H8" s="14"/>
      <c r="I8" s="39">
        <f>F7+F9+F13+F15</f>
        <v>276000</v>
      </c>
      <c r="J8" s="13" t="s">
        <v>60</v>
      </c>
    </row>
    <row r="9" spans="1:12" s="13" customFormat="1" x14ac:dyDescent="0.35">
      <c r="A9" s="12">
        <v>5</v>
      </c>
      <c r="B9" s="19">
        <v>46159</v>
      </c>
      <c r="C9" s="14" t="s">
        <v>60</v>
      </c>
      <c r="D9" s="14"/>
      <c r="E9" s="6">
        <v>0</v>
      </c>
      <c r="F9" s="6">
        <v>80000</v>
      </c>
      <c r="G9" s="10">
        <f t="shared" si="0"/>
        <v>0</v>
      </c>
      <c r="H9" s="14"/>
      <c r="I9" s="38">
        <f>I6+I7-I8</f>
        <v>1078525</v>
      </c>
      <c r="J9" s="13" t="s">
        <v>53</v>
      </c>
    </row>
    <row r="10" spans="1:12" s="13" customFormat="1" x14ac:dyDescent="0.35">
      <c r="A10" s="12">
        <v>6</v>
      </c>
      <c r="B10" s="19">
        <v>46162</v>
      </c>
      <c r="C10" s="14" t="s">
        <v>59</v>
      </c>
      <c r="D10" s="14"/>
      <c r="E10" s="6">
        <v>70000</v>
      </c>
      <c r="F10" s="6">
        <v>0</v>
      </c>
      <c r="G10" s="10">
        <f t="shared" si="0"/>
        <v>70000</v>
      </c>
      <c r="H10" s="14"/>
    </row>
    <row r="11" spans="1:12" s="13" customFormat="1" x14ac:dyDescent="0.35">
      <c r="A11" s="12">
        <v>7</v>
      </c>
      <c r="B11" s="19">
        <v>46162</v>
      </c>
      <c r="C11" s="14" t="s">
        <v>63</v>
      </c>
      <c r="D11" s="14"/>
      <c r="E11" s="6">
        <v>0</v>
      </c>
      <c r="F11" s="6">
        <v>4000</v>
      </c>
      <c r="G11" s="10">
        <f t="shared" si="0"/>
        <v>66000</v>
      </c>
      <c r="H11" s="14"/>
      <c r="I11" s="16">
        <f>F11+F12</f>
        <v>9000</v>
      </c>
    </row>
    <row r="12" spans="1:12" s="13" customFormat="1" x14ac:dyDescent="0.35">
      <c r="A12" s="12">
        <v>8</v>
      </c>
      <c r="B12" s="19">
        <v>46162</v>
      </c>
      <c r="C12" s="14" t="s">
        <v>64</v>
      </c>
      <c r="D12" s="14"/>
      <c r="E12" s="6">
        <v>0</v>
      </c>
      <c r="F12" s="6">
        <v>5000</v>
      </c>
      <c r="G12" s="10">
        <f t="shared" si="0"/>
        <v>61000</v>
      </c>
      <c r="H12" s="14"/>
    </row>
    <row r="13" spans="1:12" s="13" customFormat="1" x14ac:dyDescent="0.35">
      <c r="A13" s="12">
        <v>9</v>
      </c>
      <c r="B13" s="19">
        <v>46163</v>
      </c>
      <c r="C13" s="14" t="s">
        <v>60</v>
      </c>
      <c r="D13" s="14"/>
      <c r="E13" s="6">
        <v>0</v>
      </c>
      <c r="F13" s="6">
        <v>61000</v>
      </c>
      <c r="G13" s="10">
        <f t="shared" si="0"/>
        <v>0</v>
      </c>
      <c r="H13" s="14"/>
    </row>
    <row r="14" spans="1:12" s="13" customFormat="1" x14ac:dyDescent="0.35">
      <c r="A14" s="12">
        <v>10</v>
      </c>
      <c r="B14" s="19">
        <v>46170</v>
      </c>
      <c r="C14" s="14" t="s">
        <v>59</v>
      </c>
      <c r="D14" s="14"/>
      <c r="E14" s="6">
        <v>60000</v>
      </c>
      <c r="F14" s="6">
        <v>0</v>
      </c>
      <c r="G14" s="10">
        <f t="shared" si="0"/>
        <v>60000</v>
      </c>
      <c r="H14" s="14"/>
    </row>
    <row r="15" spans="1:12" s="13" customFormat="1" x14ac:dyDescent="0.35">
      <c r="A15" s="12">
        <v>11</v>
      </c>
      <c r="B15" s="19">
        <v>46170</v>
      </c>
      <c r="C15" s="14" t="s">
        <v>60</v>
      </c>
      <c r="D15" s="14"/>
      <c r="E15" s="6">
        <v>0</v>
      </c>
      <c r="F15" s="6">
        <v>60000</v>
      </c>
      <c r="G15" s="10">
        <f t="shared" si="0"/>
        <v>0</v>
      </c>
      <c r="H15" s="14"/>
    </row>
    <row r="16" spans="1:12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210000</v>
      </c>
      <c r="J44" s="13">
        <f>1782500</f>
        <v>1782500</v>
      </c>
      <c r="K44" s="16">
        <f>I44-J44</f>
        <v>-1572500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285000</v>
      </c>
      <c r="F45" s="4">
        <f>SUM(F6:F44)</f>
        <v>285000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3982625</v>
      </c>
      <c r="F46" s="4">
        <f t="shared" ref="F46:G46" si="1">F5+F45</f>
        <v>3982625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3982625</v>
      </c>
      <c r="F47" s="4">
        <f t="shared" si="2"/>
        <v>3982625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22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K50"/>
  <sheetViews>
    <sheetView topLeftCell="E1" zoomScale="129" workbookViewId="0">
      <selection activeCell="J6" sqref="J6:J9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6.26953125" bestFit="1" customWidth="1"/>
    <col min="11" max="11" width="12.26953125" bestFit="1" customWidth="1"/>
  </cols>
  <sheetData>
    <row r="1" spans="1:11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1" ht="15.5" x14ac:dyDescent="0.35">
      <c r="A2" s="48" t="str">
        <f>Mei!A2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11" ht="15.5" x14ac:dyDescent="0.35">
      <c r="A3" s="48" t="s">
        <v>71</v>
      </c>
      <c r="B3" s="48"/>
      <c r="C3" s="48"/>
      <c r="D3" s="48"/>
      <c r="E3" s="48"/>
      <c r="F3" s="48"/>
      <c r="G3" s="48"/>
      <c r="H3" s="48"/>
    </row>
    <row r="4" spans="1:11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1" s="11" customFormat="1" x14ac:dyDescent="0.35">
      <c r="A5" s="7">
        <v>1</v>
      </c>
      <c r="B5" s="20">
        <v>46204</v>
      </c>
      <c r="C5" s="21" t="s">
        <v>13</v>
      </c>
      <c r="D5" s="22"/>
      <c r="E5" s="23">
        <f>Mei!E47</f>
        <v>3982625</v>
      </c>
      <c r="F5" s="23">
        <f>Mei!F47</f>
        <v>3982625</v>
      </c>
      <c r="G5" s="23">
        <f>Mei!G47</f>
        <v>0</v>
      </c>
      <c r="H5" s="24"/>
      <c r="I5" s="17">
        <f>G5*5%</f>
        <v>0</v>
      </c>
    </row>
    <row r="6" spans="1:11" s="13" customFormat="1" x14ac:dyDescent="0.35">
      <c r="A6" s="12">
        <v>2</v>
      </c>
      <c r="B6" s="35">
        <v>46209</v>
      </c>
      <c r="C6" s="14" t="s">
        <v>59</v>
      </c>
      <c r="D6" s="14"/>
      <c r="E6" s="10">
        <v>125000</v>
      </c>
      <c r="F6" s="10">
        <v>0</v>
      </c>
      <c r="G6" s="10">
        <f>G5+E6-F6</f>
        <v>125000</v>
      </c>
      <c r="H6" s="9"/>
      <c r="I6" s="36">
        <f>Mei!I9</f>
        <v>1078525</v>
      </c>
      <c r="J6" s="11" t="s">
        <v>52</v>
      </c>
      <c r="K6" s="11"/>
    </row>
    <row r="7" spans="1:11" s="13" customFormat="1" x14ac:dyDescent="0.35">
      <c r="A7" s="12">
        <v>3</v>
      </c>
      <c r="B7" s="35">
        <v>46223</v>
      </c>
      <c r="C7" s="14" t="s">
        <v>59</v>
      </c>
      <c r="D7" s="14"/>
      <c r="E7" s="6">
        <v>165000</v>
      </c>
      <c r="F7" s="10"/>
      <c r="G7" s="10">
        <f t="shared" ref="G7:G44" si="0">G6+E7-F7</f>
        <v>290000</v>
      </c>
      <c r="H7" s="14"/>
      <c r="I7" s="37"/>
      <c r="J7" s="13" t="s">
        <v>49</v>
      </c>
    </row>
    <row r="8" spans="1:11" s="13" customFormat="1" x14ac:dyDescent="0.35">
      <c r="A8" s="12">
        <v>4</v>
      </c>
      <c r="B8" s="35">
        <v>46224</v>
      </c>
      <c r="C8" s="14" t="s">
        <v>65</v>
      </c>
      <c r="D8" s="14"/>
      <c r="E8" s="6">
        <v>170000</v>
      </c>
      <c r="F8" s="6"/>
      <c r="G8" s="10">
        <f t="shared" si="0"/>
        <v>460000</v>
      </c>
      <c r="H8" s="14"/>
      <c r="I8" s="39">
        <v>901750</v>
      </c>
      <c r="J8" s="13" t="s">
        <v>60</v>
      </c>
    </row>
    <row r="9" spans="1:11" s="13" customFormat="1" x14ac:dyDescent="0.35">
      <c r="A9" s="12">
        <v>5</v>
      </c>
      <c r="B9" s="35">
        <v>46224</v>
      </c>
      <c r="C9" s="14" t="s">
        <v>66</v>
      </c>
      <c r="D9" s="14"/>
      <c r="E9" s="6"/>
      <c r="F9" s="6">
        <v>87000</v>
      </c>
      <c r="G9" s="10">
        <f t="shared" si="0"/>
        <v>373000</v>
      </c>
      <c r="H9" s="14"/>
      <c r="I9" s="38">
        <f>I6+I7-I8</f>
        <v>176775</v>
      </c>
      <c r="J9" s="13" t="s">
        <v>53</v>
      </c>
    </row>
    <row r="10" spans="1:11" s="13" customFormat="1" x14ac:dyDescent="0.35">
      <c r="A10" s="12">
        <v>6</v>
      </c>
      <c r="B10" s="35">
        <v>46224</v>
      </c>
      <c r="C10" s="14" t="s">
        <v>67</v>
      </c>
      <c r="D10" s="14"/>
      <c r="E10" s="6"/>
      <c r="F10" s="6">
        <v>205500</v>
      </c>
      <c r="G10" s="10">
        <f t="shared" si="0"/>
        <v>167500</v>
      </c>
      <c r="H10" s="14"/>
      <c r="I10" s="40"/>
    </row>
    <row r="11" spans="1:11" s="13" customFormat="1" x14ac:dyDescent="0.35">
      <c r="A11" s="12">
        <v>7</v>
      </c>
      <c r="B11" s="35">
        <v>46226</v>
      </c>
      <c r="C11" s="14" t="s">
        <v>68</v>
      </c>
      <c r="D11" s="14"/>
      <c r="E11" s="6">
        <v>769250</v>
      </c>
      <c r="F11" s="6"/>
      <c r="G11" s="10">
        <f t="shared" si="0"/>
        <v>936750</v>
      </c>
      <c r="H11" s="14"/>
      <c r="I11" s="40">
        <f>F9+F10+F12+Mei!F11+Mei!F12+Pebruari!F7+Pebruari!F8+Pebruari!F9+Pebruari!F10+Pebruari!F12+Pebruari!F13+Januari!F7+Januari!F8+Januari!F11+Januari!F12</f>
        <v>833600</v>
      </c>
    </row>
    <row r="12" spans="1:11" s="13" customFormat="1" x14ac:dyDescent="0.35">
      <c r="A12" s="12">
        <v>8</v>
      </c>
      <c r="B12" s="35">
        <v>46226</v>
      </c>
      <c r="C12" s="14" t="s">
        <v>70</v>
      </c>
      <c r="D12" s="14"/>
      <c r="E12" s="6"/>
      <c r="F12" s="6">
        <v>35000</v>
      </c>
      <c r="G12" s="10">
        <f t="shared" si="0"/>
        <v>901750</v>
      </c>
      <c r="H12" s="14"/>
      <c r="I12" s="40">
        <f>I11+I9</f>
        <v>1010375</v>
      </c>
    </row>
    <row r="13" spans="1:11" s="13" customFormat="1" x14ac:dyDescent="0.35">
      <c r="A13" s="12">
        <v>9</v>
      </c>
      <c r="B13" s="35">
        <v>46226</v>
      </c>
      <c r="C13" s="14" t="s">
        <v>69</v>
      </c>
      <c r="D13" s="14"/>
      <c r="E13" s="6"/>
      <c r="F13" s="6">
        <v>901750</v>
      </c>
      <c r="G13" s="10">
        <f t="shared" si="0"/>
        <v>0</v>
      </c>
      <c r="H13" s="14"/>
      <c r="I13" s="41"/>
    </row>
    <row r="14" spans="1:11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  <c r="I14" s="42"/>
    </row>
    <row r="15" spans="1:11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11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1104250</v>
      </c>
      <c r="J44" s="13">
        <f>1782500</f>
        <v>1782500</v>
      </c>
      <c r="K44" s="16">
        <f>I44-J44</f>
        <v>-678250</v>
      </c>
    </row>
    <row r="45" spans="1:11" x14ac:dyDescent="0.35">
      <c r="A45" s="44" t="s">
        <v>5</v>
      </c>
      <c r="B45" s="45"/>
      <c r="C45" s="46"/>
      <c r="D45" s="3"/>
      <c r="E45" s="4">
        <f>SUM(E6:E44)</f>
        <v>1229250</v>
      </c>
      <c r="F45" s="4">
        <f>SUM(F6:F44)</f>
        <v>1229250</v>
      </c>
      <c r="G45" s="4">
        <f>E45-F45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25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honeticPr fontId="4" type="noConversion"/>
  <pageMargins left="0.75" right="0.75" top="1" bottom="1" header="0.5" footer="0.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L50"/>
  <sheetViews>
    <sheetView tabSelected="1" zoomScale="129" workbookViewId="0">
      <selection activeCell="L13" sqref="L1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12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12" ht="15.5" x14ac:dyDescent="0.35">
      <c r="A2" s="48" t="str">
        <f>'Juni '!A2:H2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12" ht="15.5" x14ac:dyDescent="0.35">
      <c r="A3" s="48" t="s">
        <v>27</v>
      </c>
      <c r="B3" s="48"/>
      <c r="C3" s="48"/>
      <c r="D3" s="48"/>
      <c r="E3" s="48"/>
      <c r="F3" s="48"/>
      <c r="G3" s="48"/>
      <c r="H3" s="48"/>
    </row>
    <row r="4" spans="1:12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12" s="11" customFormat="1" x14ac:dyDescent="0.35">
      <c r="A5" s="7">
        <v>1</v>
      </c>
      <c r="B5" s="20">
        <v>46204</v>
      </c>
      <c r="C5" s="21" t="s">
        <v>13</v>
      </c>
      <c r="D5" s="22"/>
      <c r="E5" s="23">
        <f>'Juni '!E47</f>
        <v>5211875</v>
      </c>
      <c r="F5" s="23">
        <f>'Juni '!F47</f>
        <v>5211875</v>
      </c>
      <c r="G5" s="23">
        <f>'Juni '!G47</f>
        <v>0</v>
      </c>
      <c r="H5" s="24"/>
      <c r="I5" s="17">
        <f>'Juni '!I6</f>
        <v>1078525</v>
      </c>
      <c r="J5" s="11" t="s">
        <v>52</v>
      </c>
      <c r="K5" s="17"/>
      <c r="L5" s="17"/>
    </row>
    <row r="6" spans="1:12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  <c r="I6" s="17">
        <f>'Juni '!I7</f>
        <v>0</v>
      </c>
      <c r="J6" s="13" t="s">
        <v>49</v>
      </c>
    </row>
    <row r="7" spans="1:12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  <c r="I7" s="17">
        <f>'Juni '!I8</f>
        <v>901750</v>
      </c>
      <c r="J7" s="13" t="s">
        <v>60</v>
      </c>
    </row>
    <row r="8" spans="1:12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  <c r="I8" s="17">
        <f>'Juni '!I9</f>
        <v>176775</v>
      </c>
      <c r="J8" s="13" t="s">
        <v>53</v>
      </c>
    </row>
    <row r="9" spans="1:12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  <c r="I9" s="17">
        <f>'Juni '!I10</f>
        <v>0</v>
      </c>
    </row>
    <row r="10" spans="1:12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  <c r="I10" s="17">
        <f>'Juni '!I11</f>
        <v>833600</v>
      </c>
      <c r="J10" s="13" t="s">
        <v>72</v>
      </c>
    </row>
    <row r="11" spans="1:12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12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12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12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12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12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26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9" ht="15.5" x14ac:dyDescent="0.35">
      <c r="A2" s="48" t="str">
        <f>Juli!A2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9" ht="15.5" x14ac:dyDescent="0.35">
      <c r="A3" s="48" t="s">
        <v>28</v>
      </c>
      <c r="B3" s="48"/>
      <c r="C3" s="48"/>
      <c r="D3" s="48"/>
      <c r="E3" s="48"/>
      <c r="F3" s="48"/>
      <c r="G3" s="48"/>
      <c r="H3" s="48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46235</v>
      </c>
      <c r="C5" s="21" t="s">
        <v>13</v>
      </c>
      <c r="D5" s="22"/>
      <c r="E5" s="23">
        <f>Juli!E47</f>
        <v>5211875</v>
      </c>
      <c r="F5" s="23">
        <f>Juli!F47</f>
        <v>5211875</v>
      </c>
      <c r="G5" s="23">
        <f>Juli!G47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29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9" ht="15.5" x14ac:dyDescent="0.35">
      <c r="A2" s="48" t="str">
        <f>Agustus!A2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9" ht="15.5" x14ac:dyDescent="0.35">
      <c r="A3" s="48" t="s">
        <v>31</v>
      </c>
      <c r="B3" s="48"/>
      <c r="C3" s="48"/>
      <c r="D3" s="48"/>
      <c r="E3" s="48"/>
      <c r="F3" s="48"/>
      <c r="G3" s="48"/>
      <c r="H3" s="48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46266</v>
      </c>
      <c r="C5" s="21" t="s">
        <v>13</v>
      </c>
      <c r="D5" s="22"/>
      <c r="E5" s="23">
        <f>Agustus!E47</f>
        <v>5211875</v>
      </c>
      <c r="F5" s="23">
        <f>Agustus!F47</f>
        <v>5211875</v>
      </c>
      <c r="G5" s="23">
        <f>Agustus!G47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30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9" ht="15.5" x14ac:dyDescent="0.35">
      <c r="A2" s="48" t="str">
        <f>September!A2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9" ht="15.5" x14ac:dyDescent="0.35">
      <c r="A3" s="48" t="s">
        <v>32</v>
      </c>
      <c r="B3" s="48"/>
      <c r="C3" s="48"/>
      <c r="D3" s="48"/>
      <c r="E3" s="48"/>
      <c r="F3" s="48"/>
      <c r="G3" s="48"/>
      <c r="H3" s="48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46296</v>
      </c>
      <c r="C5" s="21" t="s">
        <v>13</v>
      </c>
      <c r="D5" s="22"/>
      <c r="E5" s="23">
        <f>September!E47</f>
        <v>5211875</v>
      </c>
      <c r="F5" s="23">
        <f>September!F47</f>
        <v>5211875</v>
      </c>
      <c r="G5" s="23">
        <f>September!G47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35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9" ht="15.5" x14ac:dyDescent="0.35">
      <c r="A2" s="48" t="str">
        <f>'Oktober '!A2:H2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9" ht="15.5" x14ac:dyDescent="0.35">
      <c r="A3" s="48" t="s">
        <v>33</v>
      </c>
      <c r="B3" s="48"/>
      <c r="C3" s="48"/>
      <c r="D3" s="48"/>
      <c r="E3" s="48"/>
      <c r="F3" s="48"/>
      <c r="G3" s="48"/>
      <c r="H3" s="48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46327</v>
      </c>
      <c r="C5" s="21" t="s">
        <v>13</v>
      </c>
      <c r="D5" s="22"/>
      <c r="E5" s="23">
        <f>'Oktober '!E47</f>
        <v>5211875</v>
      </c>
      <c r="F5" s="23">
        <f>'Oktober '!F47</f>
        <v>5211875</v>
      </c>
      <c r="G5" s="23">
        <f>'Oktober '!G47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34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K50"/>
  <sheetViews>
    <sheetView zoomScale="129" workbookViewId="0">
      <selection activeCell="A3" sqref="A3:H3"/>
    </sheetView>
  </sheetViews>
  <sheetFormatPr defaultRowHeight="14.5" x14ac:dyDescent="0.35"/>
  <cols>
    <col min="1" max="1" width="5" customWidth="1"/>
    <col min="2" max="2" width="13.54296875" customWidth="1"/>
    <col min="3" max="3" width="42.7265625" customWidth="1"/>
    <col min="4" max="4" width="7" customWidth="1"/>
    <col min="5" max="7" width="16.54296875" customWidth="1"/>
    <col min="8" max="8" width="11.54296875" customWidth="1"/>
    <col min="9" max="9" width="14.81640625" bestFit="1" customWidth="1"/>
    <col min="11" max="11" width="12.26953125" bestFit="1" customWidth="1"/>
  </cols>
  <sheetData>
    <row r="1" spans="1:9" ht="15.5" x14ac:dyDescent="0.35">
      <c r="A1" s="48" t="s">
        <v>11</v>
      </c>
      <c r="B1" s="48"/>
      <c r="C1" s="48"/>
      <c r="D1" s="48"/>
      <c r="E1" s="48"/>
      <c r="F1" s="48"/>
      <c r="G1" s="48"/>
      <c r="H1" s="48"/>
    </row>
    <row r="2" spans="1:9" ht="15.5" x14ac:dyDescent="0.35">
      <c r="A2" s="48" t="str">
        <f>'Nopember '!A2:H2</f>
        <v xml:space="preserve">BUKU KAS (OPERASIONAL)  </v>
      </c>
      <c r="B2" s="48"/>
      <c r="C2" s="48"/>
      <c r="D2" s="48"/>
      <c r="E2" s="48"/>
      <c r="F2" s="48"/>
      <c r="G2" s="48"/>
      <c r="H2" s="48"/>
    </row>
    <row r="3" spans="1:9" ht="15.5" x14ac:dyDescent="0.35">
      <c r="A3" s="48" t="s">
        <v>36</v>
      </c>
      <c r="B3" s="48"/>
      <c r="C3" s="48"/>
      <c r="D3" s="48"/>
      <c r="E3" s="48"/>
      <c r="F3" s="48"/>
      <c r="G3" s="48"/>
      <c r="H3" s="48"/>
    </row>
    <row r="4" spans="1:9" ht="15.5" x14ac:dyDescent="0.35">
      <c r="A4" s="2" t="s">
        <v>0</v>
      </c>
      <c r="B4" s="2" t="s">
        <v>1</v>
      </c>
      <c r="C4" s="2" t="s">
        <v>2</v>
      </c>
      <c r="D4" s="2" t="s">
        <v>10</v>
      </c>
      <c r="E4" s="2" t="s">
        <v>8</v>
      </c>
      <c r="F4" s="2" t="s">
        <v>9</v>
      </c>
      <c r="G4" s="2" t="s">
        <v>3</v>
      </c>
      <c r="H4" s="2" t="s">
        <v>4</v>
      </c>
    </row>
    <row r="5" spans="1:9" s="11" customFormat="1" x14ac:dyDescent="0.35">
      <c r="A5" s="7">
        <v>1</v>
      </c>
      <c r="B5" s="20">
        <v>46357</v>
      </c>
      <c r="C5" s="21" t="s">
        <v>13</v>
      </c>
      <c r="D5" s="22"/>
      <c r="E5" s="23">
        <f>'Oktober '!E47</f>
        <v>5211875</v>
      </c>
      <c r="F5" s="23">
        <f>'Oktober '!F47</f>
        <v>5211875</v>
      </c>
      <c r="G5" s="23">
        <f>'Oktober '!G47</f>
        <v>0</v>
      </c>
      <c r="H5" s="24"/>
      <c r="I5" s="17">
        <f>G5*5%</f>
        <v>0</v>
      </c>
    </row>
    <row r="6" spans="1:9" s="13" customFormat="1" x14ac:dyDescent="0.35">
      <c r="A6" s="12">
        <v>2</v>
      </c>
      <c r="B6" s="19"/>
      <c r="C6" s="8"/>
      <c r="D6" s="9"/>
      <c r="E6" s="10"/>
      <c r="F6" s="10"/>
      <c r="G6" s="10">
        <f>G5+E6-F6</f>
        <v>0</v>
      </c>
      <c r="H6" s="9"/>
    </row>
    <row r="7" spans="1:9" s="13" customFormat="1" x14ac:dyDescent="0.35">
      <c r="A7" s="12">
        <v>3</v>
      </c>
      <c r="B7" s="18"/>
      <c r="C7" s="14"/>
      <c r="D7" s="14"/>
      <c r="E7" s="6"/>
      <c r="F7" s="6"/>
      <c r="G7" s="10">
        <f t="shared" ref="G7:G44" si="0">G6+E7-F7</f>
        <v>0</v>
      </c>
      <c r="H7" s="14"/>
    </row>
    <row r="8" spans="1:9" s="13" customFormat="1" x14ac:dyDescent="0.35">
      <c r="A8" s="12">
        <v>4</v>
      </c>
      <c r="B8" s="18"/>
      <c r="C8" s="14"/>
      <c r="D8" s="14"/>
      <c r="E8" s="6"/>
      <c r="F8" s="6"/>
      <c r="G8" s="10">
        <f t="shared" si="0"/>
        <v>0</v>
      </c>
      <c r="H8" s="14"/>
    </row>
    <row r="9" spans="1:9" s="13" customFormat="1" x14ac:dyDescent="0.35">
      <c r="A9" s="12">
        <v>5</v>
      </c>
      <c r="B9" s="18"/>
      <c r="C9" s="14"/>
      <c r="D9" s="14"/>
      <c r="E9" s="6"/>
      <c r="F9" s="6"/>
      <c r="G9" s="10">
        <f t="shared" si="0"/>
        <v>0</v>
      </c>
      <c r="H9" s="14"/>
    </row>
    <row r="10" spans="1:9" s="13" customFormat="1" x14ac:dyDescent="0.35">
      <c r="A10" s="12">
        <v>6</v>
      </c>
      <c r="B10" s="18"/>
      <c r="C10" s="14"/>
      <c r="D10" s="14"/>
      <c r="E10" s="6"/>
      <c r="F10" s="6"/>
      <c r="G10" s="10">
        <f t="shared" si="0"/>
        <v>0</v>
      </c>
      <c r="H10" s="14"/>
    </row>
    <row r="11" spans="1:9" s="13" customFormat="1" x14ac:dyDescent="0.35">
      <c r="A11" s="12">
        <v>7</v>
      </c>
      <c r="B11" s="18"/>
      <c r="C11" s="14"/>
      <c r="D11" s="14"/>
      <c r="E11" s="6"/>
      <c r="F11" s="6"/>
      <c r="G11" s="10">
        <f t="shared" si="0"/>
        <v>0</v>
      </c>
      <c r="H11" s="14"/>
    </row>
    <row r="12" spans="1:9" s="13" customFormat="1" x14ac:dyDescent="0.35">
      <c r="A12" s="12">
        <v>8</v>
      </c>
      <c r="B12" s="18"/>
      <c r="C12" s="14"/>
      <c r="D12" s="14"/>
      <c r="E12" s="6"/>
      <c r="F12" s="6"/>
      <c r="G12" s="10">
        <f t="shared" si="0"/>
        <v>0</v>
      </c>
      <c r="H12" s="14"/>
    </row>
    <row r="13" spans="1:9" s="13" customFormat="1" x14ac:dyDescent="0.35">
      <c r="A13" s="12">
        <v>9</v>
      </c>
      <c r="B13" s="18"/>
      <c r="C13" s="14"/>
      <c r="D13" s="14"/>
      <c r="E13" s="6"/>
      <c r="F13" s="6"/>
      <c r="G13" s="10">
        <f t="shared" si="0"/>
        <v>0</v>
      </c>
      <c r="H13" s="14"/>
    </row>
    <row r="14" spans="1:9" s="13" customFormat="1" x14ac:dyDescent="0.35">
      <c r="A14" s="12">
        <v>10</v>
      </c>
      <c r="B14" s="18"/>
      <c r="C14" s="14"/>
      <c r="D14" s="14"/>
      <c r="E14" s="6"/>
      <c r="F14" s="6"/>
      <c r="G14" s="10">
        <f t="shared" si="0"/>
        <v>0</v>
      </c>
      <c r="H14" s="14"/>
    </row>
    <row r="15" spans="1:9" s="13" customFormat="1" x14ac:dyDescent="0.35">
      <c r="A15" s="12">
        <v>11</v>
      </c>
      <c r="B15" s="18"/>
      <c r="C15" s="14"/>
      <c r="D15" s="14"/>
      <c r="E15" s="6"/>
      <c r="F15" s="6"/>
      <c r="G15" s="10">
        <f t="shared" si="0"/>
        <v>0</v>
      </c>
      <c r="H15" s="14"/>
    </row>
    <row r="16" spans="1:9" s="13" customFormat="1" x14ac:dyDescent="0.35">
      <c r="A16" s="12">
        <v>12</v>
      </c>
      <c r="B16" s="18"/>
      <c r="C16" s="14"/>
      <c r="D16" s="14"/>
      <c r="E16" s="6"/>
      <c r="F16" s="6"/>
      <c r="G16" s="10">
        <f t="shared" si="0"/>
        <v>0</v>
      </c>
      <c r="H16" s="14"/>
    </row>
    <row r="17" spans="1:8" s="13" customFormat="1" x14ac:dyDescent="0.35">
      <c r="A17" s="12">
        <v>13</v>
      </c>
      <c r="B17" s="18"/>
      <c r="C17" s="14"/>
      <c r="D17" s="14"/>
      <c r="E17" s="6"/>
      <c r="F17" s="6"/>
      <c r="G17" s="10">
        <f t="shared" si="0"/>
        <v>0</v>
      </c>
      <c r="H17" s="14"/>
    </row>
    <row r="18" spans="1:8" s="13" customFormat="1" x14ac:dyDescent="0.35">
      <c r="A18" s="12">
        <v>14</v>
      </c>
      <c r="B18" s="18"/>
      <c r="C18" s="14"/>
      <c r="D18" s="14"/>
      <c r="E18" s="6"/>
      <c r="F18" s="6"/>
      <c r="G18" s="10">
        <f t="shared" si="0"/>
        <v>0</v>
      </c>
      <c r="H18" s="14"/>
    </row>
    <row r="19" spans="1:8" s="13" customFormat="1" x14ac:dyDescent="0.35">
      <c r="A19" s="12">
        <v>15</v>
      </c>
      <c r="B19" s="18"/>
      <c r="C19" s="14"/>
      <c r="D19" s="14"/>
      <c r="E19" s="6"/>
      <c r="F19" s="6"/>
      <c r="G19" s="10">
        <f t="shared" si="0"/>
        <v>0</v>
      </c>
      <c r="H19" s="14"/>
    </row>
    <row r="20" spans="1:8" s="13" customFormat="1" x14ac:dyDescent="0.35">
      <c r="A20" s="12">
        <v>16</v>
      </c>
      <c r="B20" s="18"/>
      <c r="C20" s="14"/>
      <c r="D20" s="14"/>
      <c r="E20" s="6"/>
      <c r="F20" s="6"/>
      <c r="G20" s="10">
        <f t="shared" si="0"/>
        <v>0</v>
      </c>
      <c r="H20" s="14"/>
    </row>
    <row r="21" spans="1:8" s="13" customFormat="1" x14ac:dyDescent="0.35">
      <c r="A21" s="12">
        <v>17</v>
      </c>
      <c r="B21" s="18"/>
      <c r="C21" s="14"/>
      <c r="D21" s="14"/>
      <c r="E21" s="6"/>
      <c r="F21" s="6"/>
      <c r="G21" s="10">
        <f t="shared" si="0"/>
        <v>0</v>
      </c>
      <c r="H21" s="14"/>
    </row>
    <row r="22" spans="1:8" s="13" customFormat="1" x14ac:dyDescent="0.35">
      <c r="A22" s="12">
        <v>18</v>
      </c>
      <c r="B22" s="18"/>
      <c r="C22" s="14"/>
      <c r="D22" s="14"/>
      <c r="E22" s="6"/>
      <c r="F22" s="6"/>
      <c r="G22" s="10">
        <f t="shared" si="0"/>
        <v>0</v>
      </c>
      <c r="H22" s="14"/>
    </row>
    <row r="23" spans="1:8" s="13" customFormat="1" x14ac:dyDescent="0.35">
      <c r="A23" s="12">
        <v>19</v>
      </c>
      <c r="B23" s="18"/>
      <c r="C23" s="14"/>
      <c r="D23" s="14"/>
      <c r="E23" s="6"/>
      <c r="F23" s="6"/>
      <c r="G23" s="10">
        <f t="shared" si="0"/>
        <v>0</v>
      </c>
      <c r="H23" s="14"/>
    </row>
    <row r="24" spans="1:8" s="13" customFormat="1" x14ac:dyDescent="0.35">
      <c r="A24" s="12">
        <v>20</v>
      </c>
      <c r="B24" s="18"/>
      <c r="C24" s="14"/>
      <c r="D24" s="14"/>
      <c r="E24" s="6"/>
      <c r="F24" s="6"/>
      <c r="G24" s="10">
        <f t="shared" si="0"/>
        <v>0</v>
      </c>
      <c r="H24" s="14"/>
    </row>
    <row r="25" spans="1:8" s="13" customFormat="1" x14ac:dyDescent="0.35">
      <c r="A25" s="12">
        <v>21</v>
      </c>
      <c r="B25" s="18"/>
      <c r="C25" s="14"/>
      <c r="D25" s="14"/>
      <c r="E25" s="6"/>
      <c r="F25" s="6"/>
      <c r="G25" s="10">
        <f t="shared" si="0"/>
        <v>0</v>
      </c>
      <c r="H25" s="14"/>
    </row>
    <row r="26" spans="1:8" s="13" customFormat="1" x14ac:dyDescent="0.35">
      <c r="A26" s="12">
        <v>22</v>
      </c>
      <c r="B26" s="18"/>
      <c r="C26" s="14"/>
      <c r="D26" s="14"/>
      <c r="E26" s="6"/>
      <c r="F26" s="6"/>
      <c r="G26" s="10">
        <f t="shared" si="0"/>
        <v>0</v>
      </c>
      <c r="H26" s="14"/>
    </row>
    <row r="27" spans="1:8" s="13" customFormat="1" x14ac:dyDescent="0.35">
      <c r="A27" s="12">
        <v>23</v>
      </c>
      <c r="B27" s="18"/>
      <c r="C27" s="14"/>
      <c r="D27" s="14"/>
      <c r="E27" s="6"/>
      <c r="F27" s="6"/>
      <c r="G27" s="10">
        <f t="shared" si="0"/>
        <v>0</v>
      </c>
      <c r="H27" s="14"/>
    </row>
    <row r="28" spans="1:8" s="13" customFormat="1" x14ac:dyDescent="0.35">
      <c r="A28" s="12">
        <v>24</v>
      </c>
      <c r="B28" s="18"/>
      <c r="C28" s="14"/>
      <c r="D28" s="14"/>
      <c r="E28" s="6"/>
      <c r="F28" s="6"/>
      <c r="G28" s="10">
        <f t="shared" si="0"/>
        <v>0</v>
      </c>
      <c r="H28" s="14"/>
    </row>
    <row r="29" spans="1:8" s="13" customFormat="1" x14ac:dyDescent="0.35">
      <c r="A29" s="12">
        <v>25</v>
      </c>
      <c r="B29" s="18"/>
      <c r="C29" s="14"/>
      <c r="D29" s="14"/>
      <c r="E29" s="6"/>
      <c r="F29" s="6"/>
      <c r="G29" s="10">
        <f t="shared" si="0"/>
        <v>0</v>
      </c>
      <c r="H29" s="14"/>
    </row>
    <row r="30" spans="1:8" s="13" customFormat="1" x14ac:dyDescent="0.35">
      <c r="A30" s="12">
        <v>26</v>
      </c>
      <c r="B30" s="18"/>
      <c r="C30" s="14"/>
      <c r="D30" s="14"/>
      <c r="E30" s="6"/>
      <c r="F30" s="6"/>
      <c r="G30" s="10">
        <f t="shared" si="0"/>
        <v>0</v>
      </c>
      <c r="H30" s="14"/>
    </row>
    <row r="31" spans="1:8" s="13" customFormat="1" x14ac:dyDescent="0.35">
      <c r="A31" s="12">
        <v>27</v>
      </c>
      <c r="B31" s="18"/>
      <c r="C31" s="14"/>
      <c r="D31" s="14"/>
      <c r="E31" s="6"/>
      <c r="F31" s="6"/>
      <c r="G31" s="10">
        <f t="shared" si="0"/>
        <v>0</v>
      </c>
      <c r="H31" s="14"/>
    </row>
    <row r="32" spans="1:8" s="13" customFormat="1" x14ac:dyDescent="0.35">
      <c r="A32" s="12">
        <v>28</v>
      </c>
      <c r="B32" s="18"/>
      <c r="C32" s="14"/>
      <c r="D32" s="14"/>
      <c r="E32" s="6"/>
      <c r="F32" s="6"/>
      <c r="G32" s="10">
        <f t="shared" si="0"/>
        <v>0</v>
      </c>
      <c r="H32" s="14"/>
    </row>
    <row r="33" spans="1:11" s="13" customFormat="1" x14ac:dyDescent="0.35">
      <c r="A33" s="12">
        <v>29</v>
      </c>
      <c r="B33" s="18"/>
      <c r="C33" s="14"/>
      <c r="D33" s="14"/>
      <c r="E33" s="6"/>
      <c r="F33" s="6"/>
      <c r="G33" s="10">
        <f t="shared" si="0"/>
        <v>0</v>
      </c>
      <c r="H33" s="14"/>
    </row>
    <row r="34" spans="1:11" s="13" customFormat="1" x14ac:dyDescent="0.35">
      <c r="A34" s="12">
        <v>30</v>
      </c>
      <c r="B34" s="18"/>
      <c r="C34" s="14"/>
      <c r="D34" s="14"/>
      <c r="E34" s="6"/>
      <c r="F34" s="6"/>
      <c r="G34" s="10">
        <f t="shared" si="0"/>
        <v>0</v>
      </c>
      <c r="H34" s="14"/>
    </row>
    <row r="35" spans="1:11" s="13" customFormat="1" x14ac:dyDescent="0.35">
      <c r="A35" s="12">
        <v>31</v>
      </c>
      <c r="B35" s="18"/>
      <c r="C35" s="14"/>
      <c r="D35" s="14"/>
      <c r="E35" s="6"/>
      <c r="F35" s="6"/>
      <c r="G35" s="10">
        <f t="shared" si="0"/>
        <v>0</v>
      </c>
      <c r="H35" s="14"/>
    </row>
    <row r="36" spans="1:11" s="13" customFormat="1" x14ac:dyDescent="0.35">
      <c r="A36" s="12">
        <v>32</v>
      </c>
      <c r="B36" s="18"/>
      <c r="C36" s="14"/>
      <c r="D36" s="14"/>
      <c r="E36" s="6"/>
      <c r="F36" s="6"/>
      <c r="G36" s="10">
        <f t="shared" si="0"/>
        <v>0</v>
      </c>
      <c r="H36" s="49"/>
    </row>
    <row r="37" spans="1:11" s="13" customFormat="1" x14ac:dyDescent="0.35">
      <c r="A37" s="12">
        <v>33</v>
      </c>
      <c r="B37" s="18"/>
      <c r="C37" s="14"/>
      <c r="D37" s="14"/>
      <c r="E37" s="6"/>
      <c r="F37" s="6"/>
      <c r="G37" s="10">
        <f t="shared" si="0"/>
        <v>0</v>
      </c>
      <c r="H37" s="50"/>
    </row>
    <row r="38" spans="1:11" s="13" customFormat="1" x14ac:dyDescent="0.35">
      <c r="A38" s="12">
        <v>34</v>
      </c>
      <c r="B38" s="18"/>
      <c r="C38" s="14"/>
      <c r="D38" s="14"/>
      <c r="E38" s="6"/>
      <c r="F38" s="6"/>
      <c r="G38" s="10">
        <f t="shared" si="0"/>
        <v>0</v>
      </c>
      <c r="H38" s="50"/>
    </row>
    <row r="39" spans="1:11" s="13" customFormat="1" x14ac:dyDescent="0.35">
      <c r="A39" s="12">
        <v>35</v>
      </c>
      <c r="B39" s="18"/>
      <c r="C39" s="14"/>
      <c r="D39" s="14"/>
      <c r="E39" s="6"/>
      <c r="F39" s="6"/>
      <c r="G39" s="10">
        <f t="shared" si="0"/>
        <v>0</v>
      </c>
      <c r="H39" s="50"/>
    </row>
    <row r="40" spans="1:11" s="13" customFormat="1" x14ac:dyDescent="0.35">
      <c r="A40" s="12">
        <v>36</v>
      </c>
      <c r="B40" s="18"/>
      <c r="C40" s="14"/>
      <c r="D40" s="14"/>
      <c r="E40" s="6"/>
      <c r="F40" s="6"/>
      <c r="G40" s="10">
        <f t="shared" si="0"/>
        <v>0</v>
      </c>
      <c r="H40" s="50"/>
    </row>
    <row r="41" spans="1:11" s="13" customFormat="1" x14ac:dyDescent="0.35">
      <c r="A41" s="12">
        <v>37</v>
      </c>
      <c r="B41" s="18"/>
      <c r="C41" s="14"/>
      <c r="D41" s="14"/>
      <c r="E41" s="6"/>
      <c r="F41" s="6"/>
      <c r="G41" s="10">
        <f t="shared" si="0"/>
        <v>0</v>
      </c>
      <c r="H41" s="50"/>
    </row>
    <row r="42" spans="1:11" s="13" customFormat="1" x14ac:dyDescent="0.35">
      <c r="A42" s="12">
        <v>38</v>
      </c>
      <c r="B42" s="18"/>
      <c r="C42" s="14"/>
      <c r="D42" s="14"/>
      <c r="E42" s="6"/>
      <c r="F42" s="6"/>
      <c r="G42" s="10">
        <f t="shared" si="0"/>
        <v>0</v>
      </c>
      <c r="H42" s="50"/>
    </row>
    <row r="43" spans="1:11" s="13" customFormat="1" x14ac:dyDescent="0.35">
      <c r="A43" s="12">
        <v>39</v>
      </c>
      <c r="B43" s="18"/>
      <c r="C43" s="14"/>
      <c r="D43" s="14"/>
      <c r="E43" s="6"/>
      <c r="F43" s="6"/>
      <c r="G43" s="10">
        <f t="shared" si="0"/>
        <v>0</v>
      </c>
      <c r="H43" s="51"/>
    </row>
    <row r="44" spans="1:11" s="13" customFormat="1" x14ac:dyDescent="0.35">
      <c r="A44" s="12">
        <v>40</v>
      </c>
      <c r="B44" s="15"/>
      <c r="C44" s="14"/>
      <c r="D44" s="14"/>
      <c r="E44" s="6"/>
      <c r="F44" s="6"/>
      <c r="G44" s="10">
        <f t="shared" si="0"/>
        <v>0</v>
      </c>
      <c r="I44" s="16">
        <f>SUM(E7:E44)</f>
        <v>0</v>
      </c>
      <c r="J44" s="13">
        <f>1782500</f>
        <v>1782500</v>
      </c>
      <c r="K44" s="16">
        <f>I44-J44</f>
        <v>-1782500</v>
      </c>
    </row>
    <row r="45" spans="1:11" x14ac:dyDescent="0.35">
      <c r="A45" s="44" t="s">
        <v>5</v>
      </c>
      <c r="B45" s="45"/>
      <c r="C45" s="46"/>
      <c r="D45" s="3"/>
      <c r="E45" s="4">
        <f>SUM(E6:E44)</f>
        <v>0</v>
      </c>
      <c r="F45" s="4">
        <f>SUM(F6:F44)</f>
        <v>0</v>
      </c>
      <c r="G45" s="4">
        <f>F45-E45</f>
        <v>0</v>
      </c>
      <c r="H45" s="1"/>
    </row>
    <row r="46" spans="1:11" x14ac:dyDescent="0.35">
      <c r="A46" s="44" t="s">
        <v>6</v>
      </c>
      <c r="B46" s="45"/>
      <c r="C46" s="46"/>
      <c r="D46" s="3"/>
      <c r="E46" s="4">
        <f>E5+E45</f>
        <v>5211875</v>
      </c>
      <c r="F46" s="4">
        <f t="shared" ref="F46:G46" si="1">F5+F45</f>
        <v>5211875</v>
      </c>
      <c r="G46" s="4">
        <f t="shared" si="1"/>
        <v>0</v>
      </c>
      <c r="H46" s="1"/>
    </row>
    <row r="47" spans="1:11" x14ac:dyDescent="0.35">
      <c r="A47" s="44" t="s">
        <v>7</v>
      </c>
      <c r="B47" s="45"/>
      <c r="C47" s="46"/>
      <c r="D47" s="3"/>
      <c r="E47" s="4">
        <f t="shared" ref="E47:G47" si="2">E46</f>
        <v>5211875</v>
      </c>
      <c r="F47" s="4">
        <f t="shared" si="2"/>
        <v>5211875</v>
      </c>
      <c r="G47" s="4">
        <f t="shared" si="2"/>
        <v>0</v>
      </c>
      <c r="H47" s="1"/>
      <c r="I47" s="5">
        <f>2477500-1782500</f>
        <v>695000</v>
      </c>
    </row>
    <row r="49" spans="6:8" x14ac:dyDescent="0.35">
      <c r="F49" s="47" t="s">
        <v>37</v>
      </c>
      <c r="G49" s="47"/>
      <c r="H49" s="47"/>
    </row>
    <row r="50" spans="6:8" x14ac:dyDescent="0.35">
      <c r="F50" s="47" t="s">
        <v>12</v>
      </c>
      <c r="G50" s="47"/>
      <c r="H50" s="47"/>
    </row>
  </sheetData>
  <mergeCells count="9">
    <mergeCell ref="A47:C47"/>
    <mergeCell ref="F49:H49"/>
    <mergeCell ref="F50:H50"/>
    <mergeCell ref="A1:H1"/>
    <mergeCell ref="A2:H2"/>
    <mergeCell ref="A3:H3"/>
    <mergeCell ref="H36:H43"/>
    <mergeCell ref="A45:C45"/>
    <mergeCell ref="A46:C46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12</vt:i4>
      </vt:variant>
    </vt:vector>
  </HeadingPairs>
  <TitlesOfParts>
    <vt:vector size="12" baseType="lpstr">
      <vt:lpstr>Januari</vt:lpstr>
      <vt:lpstr>Pebruari</vt:lpstr>
      <vt:lpstr>Maret</vt:lpstr>
      <vt:lpstr>April</vt:lpstr>
      <vt:lpstr>Mei</vt:lpstr>
      <vt:lpstr>Juni </vt:lpstr>
      <vt:lpstr>Juli</vt:lpstr>
      <vt:lpstr>Agustus</vt:lpstr>
      <vt:lpstr>September</vt:lpstr>
      <vt:lpstr>Oktober </vt:lpstr>
      <vt:lpstr>Nopember 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satijo sip</cp:lastModifiedBy>
  <cp:lastPrinted>2026-02-03T08:21:04Z</cp:lastPrinted>
  <dcterms:created xsi:type="dcterms:W3CDTF">2026-02-01T04:03:31Z</dcterms:created>
  <dcterms:modified xsi:type="dcterms:W3CDTF">2026-07-05T12:41:35Z</dcterms:modified>
</cp:coreProperties>
</file>