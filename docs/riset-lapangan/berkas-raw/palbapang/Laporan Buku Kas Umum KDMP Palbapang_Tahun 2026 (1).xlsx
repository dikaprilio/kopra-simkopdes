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f7261dde601367/Dokumen/BA_2026/Laporan BA/KDMP Palbapang/"/>
    </mc:Choice>
  </mc:AlternateContent>
  <xr:revisionPtr revIDLastSave="38" documentId="11_DF3247281ED344D63AF8EF5AE1B8E5D499F8DE82" xr6:coauthVersionLast="47" xr6:coauthVersionMax="47" xr10:uidLastSave="{27C428EE-708A-4241-9BA3-85C1F8F363D9}"/>
  <bookViews>
    <workbookView xWindow="-110" yWindow="-110" windowWidth="19420" windowHeight="11500" activeTab="5" xr2:uid="{00000000-000D-0000-FFFF-FFFF00000000}"/>
  </bookViews>
  <sheets>
    <sheet name="Januari" sheetId="5" r:id="rId1"/>
    <sheet name="Pebruari" sheetId="8" r:id="rId2"/>
    <sheet name="Maret" sheetId="11" r:id="rId3"/>
    <sheet name="April" sheetId="12" r:id="rId4"/>
    <sheet name="Mei" sheetId="13" r:id="rId5"/>
    <sheet name="Juni " sheetId="14" r:id="rId6"/>
    <sheet name="Juli" sheetId="15" r:id="rId7"/>
    <sheet name="Agustus" sheetId="16" r:id="rId8"/>
    <sheet name="September" sheetId="17" r:id="rId9"/>
    <sheet name="Oktober " sheetId="18" r:id="rId10"/>
    <sheet name="Nopember " sheetId="19" r:id="rId11"/>
    <sheet name="Desember" sheetId="20" r:id="rId12"/>
  </sheets>
  <externalReferences>
    <externalReference r:id="rId13"/>
    <externalReference r:id="rId14"/>
    <externalReference r:id="rId1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4" l="1"/>
  <c r="G17" i="14"/>
  <c r="I18" i="14"/>
  <c r="F17" i="14"/>
  <c r="E17" i="14"/>
  <c r="E18" i="14"/>
  <c r="G19" i="13"/>
  <c r="G16" i="14"/>
  <c r="G6" i="14"/>
  <c r="G15" i="14"/>
  <c r="I8" i="13"/>
  <c r="G13" i="11"/>
  <c r="G22" i="8"/>
  <c r="C5" i="12" l="1"/>
  <c r="F58" i="5" l="1"/>
  <c r="F5" i="5"/>
  <c r="E5" i="5" l="1"/>
  <c r="I5" i="8" l="1"/>
  <c r="J5" i="8" s="1"/>
  <c r="I9" i="8"/>
  <c r="A2" i="8"/>
  <c r="A2" i="11" s="1"/>
  <c r="A2" i="12" s="1"/>
  <c r="A2" i="13" s="1"/>
  <c r="A2" i="14" s="1"/>
  <c r="A2" i="15" s="1"/>
  <c r="A2" i="16" s="1"/>
  <c r="A2" i="17" s="1"/>
  <c r="A2" i="18" s="1"/>
  <c r="A2" i="19" s="1"/>
  <c r="A2" i="20" s="1"/>
  <c r="F21" i="8"/>
  <c r="G5" i="5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I47" i="20"/>
  <c r="F45" i="20"/>
  <c r="E45" i="20"/>
  <c r="J44" i="20"/>
  <c r="I44" i="20"/>
  <c r="I47" i="19"/>
  <c r="F45" i="19"/>
  <c r="E45" i="19"/>
  <c r="J44" i="19"/>
  <c r="I44" i="19"/>
  <c r="K44" i="19" s="1"/>
  <c r="I47" i="18"/>
  <c r="F45" i="18"/>
  <c r="E45" i="18"/>
  <c r="J44" i="18"/>
  <c r="I44" i="18"/>
  <c r="K44" i="18" s="1"/>
  <c r="I47" i="17"/>
  <c r="F45" i="17"/>
  <c r="E45" i="17"/>
  <c r="J44" i="17"/>
  <c r="I44" i="17"/>
  <c r="I47" i="16"/>
  <c r="F45" i="16"/>
  <c r="E45" i="16"/>
  <c r="J44" i="16"/>
  <c r="I44" i="16"/>
  <c r="I47" i="15"/>
  <c r="F45" i="15"/>
  <c r="E45" i="15"/>
  <c r="J44" i="15"/>
  <c r="I44" i="15"/>
  <c r="K44" i="15" s="1"/>
  <c r="F16" i="14"/>
  <c r="E16" i="14"/>
  <c r="I21" i="13"/>
  <c r="F19" i="13"/>
  <c r="E19" i="13"/>
  <c r="I17" i="12"/>
  <c r="F15" i="12"/>
  <c r="E15" i="12"/>
  <c r="I15" i="11"/>
  <c r="F13" i="11"/>
  <c r="E58" i="5"/>
  <c r="E59" i="5" s="1"/>
  <c r="E21" i="8"/>
  <c r="G15" i="12" l="1"/>
  <c r="G45" i="15"/>
  <c r="G45" i="19"/>
  <c r="G45" i="18"/>
  <c r="G45" i="16"/>
  <c r="K44" i="16"/>
  <c r="G45" i="17"/>
  <c r="K44" i="20"/>
  <c r="K44" i="17"/>
  <c r="G21" i="8"/>
  <c r="G58" i="5"/>
  <c r="F59" i="5"/>
  <c r="F60" i="5" s="1"/>
  <c r="F5" i="8" s="1"/>
  <c r="F22" i="8" s="1"/>
  <c r="F23" i="8" s="1"/>
  <c r="G45" i="20"/>
  <c r="E60" i="5"/>
  <c r="G59" i="5" l="1"/>
  <c r="E5" i="8"/>
  <c r="E22" i="8" s="1"/>
  <c r="G60" i="5"/>
  <c r="G5" i="8" s="1"/>
  <c r="G6" i="8" s="1"/>
  <c r="G7" i="8" s="1"/>
  <c r="G8" i="8" s="1"/>
  <c r="F5" i="11"/>
  <c r="F14" i="11" s="1"/>
  <c r="F15" i="11" s="1"/>
  <c r="F5" i="12" s="1"/>
  <c r="F16" i="12" s="1"/>
  <c r="F17" i="12" s="1"/>
  <c r="F5" i="13" s="1"/>
  <c r="F20" i="13" s="1"/>
  <c r="F21" i="13" s="1"/>
  <c r="F5" i="14" s="1"/>
  <c r="F18" i="14" s="1"/>
  <c r="F5" i="15" s="1"/>
  <c r="F46" i="15" s="1"/>
  <c r="F47" i="15" s="1"/>
  <c r="F5" i="16" s="1"/>
  <c r="F46" i="16" s="1"/>
  <c r="F47" i="16" s="1"/>
  <c r="F5" i="17" s="1"/>
  <c r="F46" i="17" s="1"/>
  <c r="F47" i="17" s="1"/>
  <c r="F5" i="18" s="1"/>
  <c r="F46" i="18" s="1"/>
  <c r="F47" i="18" s="1"/>
  <c r="I7" i="8"/>
  <c r="G9" i="8" l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3" i="8"/>
  <c r="I6" i="8" s="1"/>
  <c r="E23" i="8"/>
  <c r="E5" i="11" s="1"/>
  <c r="F5" i="20"/>
  <c r="F46" i="20" s="1"/>
  <c r="F47" i="20" s="1"/>
  <c r="F5" i="19"/>
  <c r="F46" i="19" s="1"/>
  <c r="F47" i="19" s="1"/>
  <c r="G5" i="11" l="1"/>
  <c r="G6" i="11" s="1"/>
  <c r="I8" i="8"/>
  <c r="I10" i="8" s="1"/>
  <c r="J7" i="8"/>
  <c r="G7" i="11" l="1"/>
  <c r="G8" i="11" s="1"/>
  <c r="G9" i="11" s="1"/>
  <c r="G10" i="11" s="1"/>
  <c r="I5" i="11"/>
  <c r="E13" i="11" l="1"/>
  <c r="G11" i="11"/>
  <c r="G12" i="11" s="1"/>
  <c r="G14" i="11" l="1"/>
  <c r="E14" i="11"/>
  <c r="E15" i="11" s="1"/>
  <c r="E5" i="12" l="1"/>
  <c r="E16" i="12" s="1"/>
  <c r="E17" i="12" s="1"/>
  <c r="E5" i="13" s="1"/>
  <c r="E20" i="13" s="1"/>
  <c r="E21" i="13" s="1"/>
  <c r="E5" i="14" s="1"/>
  <c r="E5" i="15" s="1"/>
  <c r="E46" i="15" s="1"/>
  <c r="E47" i="15" s="1"/>
  <c r="E5" i="16" s="1"/>
  <c r="E46" i="16" s="1"/>
  <c r="E47" i="16" s="1"/>
  <c r="E5" i="17" s="1"/>
  <c r="E46" i="17" s="1"/>
  <c r="E47" i="17" s="1"/>
  <c r="E5" i="18" s="1"/>
  <c r="E46" i="18" s="1"/>
  <c r="E47" i="18" s="1"/>
  <c r="G15" i="11"/>
  <c r="G5" i="12" s="1"/>
  <c r="G6" i="12" l="1"/>
  <c r="G7" i="12" s="1"/>
  <c r="G8" i="12" s="1"/>
  <c r="I5" i="12"/>
  <c r="G16" i="12"/>
  <c r="G17" i="12" s="1"/>
  <c r="G5" i="13" s="1"/>
  <c r="G6" i="13" s="1"/>
  <c r="E5" i="19"/>
  <c r="E46" i="19" s="1"/>
  <c r="E47" i="19" s="1"/>
  <c r="E5" i="20"/>
  <c r="E46" i="20" s="1"/>
  <c r="E47" i="20" s="1"/>
  <c r="G9" i="12" l="1"/>
  <c r="G10" i="12" s="1"/>
  <c r="G11" i="12" s="1"/>
  <c r="G12" i="12" s="1"/>
  <c r="G13" i="12" s="1"/>
  <c r="G14" i="12" s="1"/>
  <c r="G7" i="13"/>
  <c r="G8" i="13" s="1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20" i="13"/>
  <c r="G21" i="13" s="1"/>
  <c r="G5" i="14" s="1"/>
  <c r="I5" i="13"/>
  <c r="G7" i="14" l="1"/>
  <c r="G8" i="14" s="1"/>
  <c r="G9" i="14" s="1"/>
  <c r="G10" i="14" s="1"/>
  <c r="G11" i="14" s="1"/>
  <c r="G12" i="14" s="1"/>
  <c r="G13" i="14" s="1"/>
  <c r="G14" i="14" s="1"/>
  <c r="G18" i="14"/>
  <c r="G5" i="15" s="1"/>
  <c r="G6" i="15" l="1"/>
  <c r="G7" i="15" s="1"/>
  <c r="G8" i="15" s="1"/>
  <c r="G9" i="15" s="1"/>
  <c r="G10" i="15" s="1"/>
  <c r="G11" i="15" s="1"/>
  <c r="G12" i="15" s="1"/>
  <c r="G13" i="15" s="1"/>
  <c r="G14" i="15" s="1"/>
  <c r="G15" i="15" s="1"/>
  <c r="G16" i="15" s="1"/>
  <c r="G17" i="15" s="1"/>
  <c r="G18" i="15" s="1"/>
  <c r="G19" i="15" s="1"/>
  <c r="G20" i="15" s="1"/>
  <c r="G21" i="15" s="1"/>
  <c r="G22" i="15" s="1"/>
  <c r="G23" i="15" s="1"/>
  <c r="G24" i="15" s="1"/>
  <c r="G25" i="15" s="1"/>
  <c r="G26" i="15" s="1"/>
  <c r="G27" i="15" s="1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G38" i="15" s="1"/>
  <c r="G39" i="15" s="1"/>
  <c r="G40" i="15" s="1"/>
  <c r="G41" i="15" s="1"/>
  <c r="G42" i="15" s="1"/>
  <c r="G43" i="15" s="1"/>
  <c r="G44" i="15" s="1"/>
  <c r="I5" i="15"/>
  <c r="G46" i="15"/>
  <c r="G47" i="15" s="1"/>
  <c r="G5" i="16" s="1"/>
  <c r="G6" i="16" l="1"/>
  <c r="G7" i="16" s="1"/>
  <c r="G8" i="16" s="1"/>
  <c r="G9" i="16" s="1"/>
  <c r="G10" i="16" s="1"/>
  <c r="G11" i="16" s="1"/>
  <c r="G12" i="16" s="1"/>
  <c r="G13" i="16" s="1"/>
  <c r="G14" i="16" s="1"/>
  <c r="G15" i="16" s="1"/>
  <c r="G16" i="16" s="1"/>
  <c r="G17" i="16" s="1"/>
  <c r="G18" i="16" s="1"/>
  <c r="G19" i="16" s="1"/>
  <c r="G20" i="16" s="1"/>
  <c r="G21" i="16" s="1"/>
  <c r="G22" i="16" s="1"/>
  <c r="G23" i="16" s="1"/>
  <c r="G24" i="16" s="1"/>
  <c r="G25" i="16" s="1"/>
  <c r="G26" i="16" s="1"/>
  <c r="G27" i="16" s="1"/>
  <c r="G28" i="16" s="1"/>
  <c r="G29" i="16" s="1"/>
  <c r="G30" i="16" s="1"/>
  <c r="G31" i="16" s="1"/>
  <c r="G32" i="16" s="1"/>
  <c r="G33" i="16" s="1"/>
  <c r="G34" i="16" s="1"/>
  <c r="G35" i="16" s="1"/>
  <c r="G36" i="16" s="1"/>
  <c r="G37" i="16" s="1"/>
  <c r="G38" i="16" s="1"/>
  <c r="G39" i="16" s="1"/>
  <c r="G40" i="16" s="1"/>
  <c r="G41" i="16" s="1"/>
  <c r="G42" i="16" s="1"/>
  <c r="G43" i="16" s="1"/>
  <c r="G44" i="16" s="1"/>
  <c r="G46" i="16"/>
  <c r="G47" i="16" s="1"/>
  <c r="G5" i="17" s="1"/>
  <c r="I5" i="16"/>
  <c r="G6" i="17" l="1"/>
  <c r="G7" i="17" s="1"/>
  <c r="G8" i="17" s="1"/>
  <c r="G9" i="17" s="1"/>
  <c r="G10" i="17" s="1"/>
  <c r="G11" i="17" s="1"/>
  <c r="G12" i="17" s="1"/>
  <c r="G13" i="17" s="1"/>
  <c r="G14" i="17" s="1"/>
  <c r="G15" i="17" s="1"/>
  <c r="G16" i="17" s="1"/>
  <c r="G17" i="17" s="1"/>
  <c r="G18" i="17" s="1"/>
  <c r="G19" i="17" s="1"/>
  <c r="G20" i="17" s="1"/>
  <c r="G21" i="17" s="1"/>
  <c r="G22" i="17" s="1"/>
  <c r="G23" i="17" s="1"/>
  <c r="G24" i="17" s="1"/>
  <c r="G25" i="17" s="1"/>
  <c r="G26" i="17" s="1"/>
  <c r="G27" i="17" s="1"/>
  <c r="G28" i="17" s="1"/>
  <c r="G29" i="17" s="1"/>
  <c r="G30" i="17" s="1"/>
  <c r="G31" i="17" s="1"/>
  <c r="G32" i="17" s="1"/>
  <c r="G33" i="17" s="1"/>
  <c r="G34" i="17" s="1"/>
  <c r="G35" i="17" s="1"/>
  <c r="G36" i="17" s="1"/>
  <c r="G37" i="17" s="1"/>
  <c r="G38" i="17" s="1"/>
  <c r="G39" i="17" s="1"/>
  <c r="G40" i="17" s="1"/>
  <c r="G41" i="17" s="1"/>
  <c r="G42" i="17" s="1"/>
  <c r="G43" i="17" s="1"/>
  <c r="G44" i="17" s="1"/>
  <c r="G46" i="17"/>
  <c r="G47" i="17" s="1"/>
  <c r="G5" i="18" s="1"/>
  <c r="I5" i="17"/>
  <c r="G6" i="18" l="1"/>
  <c r="G7" i="18" s="1"/>
  <c r="G8" i="18" s="1"/>
  <c r="G9" i="18" s="1"/>
  <c r="G10" i="18" s="1"/>
  <c r="G11" i="18" s="1"/>
  <c r="G12" i="18" s="1"/>
  <c r="G13" i="18" s="1"/>
  <c r="G14" i="18" s="1"/>
  <c r="G15" i="18" s="1"/>
  <c r="G16" i="18" s="1"/>
  <c r="G17" i="18" s="1"/>
  <c r="G18" i="18" s="1"/>
  <c r="G19" i="18" s="1"/>
  <c r="G20" i="18" s="1"/>
  <c r="G21" i="18" s="1"/>
  <c r="G22" i="18" s="1"/>
  <c r="G23" i="18" s="1"/>
  <c r="G24" i="18" s="1"/>
  <c r="G25" i="18" s="1"/>
  <c r="G26" i="18" s="1"/>
  <c r="G27" i="18" s="1"/>
  <c r="G28" i="18" s="1"/>
  <c r="G29" i="18" s="1"/>
  <c r="G30" i="18" s="1"/>
  <c r="G31" i="18" s="1"/>
  <c r="G32" i="18" s="1"/>
  <c r="G33" i="18" s="1"/>
  <c r="G34" i="18" s="1"/>
  <c r="G35" i="18" s="1"/>
  <c r="G36" i="18" s="1"/>
  <c r="G37" i="18" s="1"/>
  <c r="G38" i="18" s="1"/>
  <c r="G39" i="18" s="1"/>
  <c r="G40" i="18" s="1"/>
  <c r="G41" i="18" s="1"/>
  <c r="G42" i="18" s="1"/>
  <c r="G43" i="18" s="1"/>
  <c r="G44" i="18" s="1"/>
  <c r="I5" i="18"/>
  <c r="G46" i="18"/>
  <c r="G47" i="18" s="1"/>
  <c r="G5" i="19" l="1"/>
  <c r="G5" i="20"/>
  <c r="G6" i="20" l="1"/>
  <c r="G7" i="20" s="1"/>
  <c r="G8" i="20" s="1"/>
  <c r="G9" i="20" s="1"/>
  <c r="G10" i="20" s="1"/>
  <c r="G11" i="20" s="1"/>
  <c r="G12" i="20" s="1"/>
  <c r="G13" i="20" s="1"/>
  <c r="G14" i="20" s="1"/>
  <c r="G15" i="20" s="1"/>
  <c r="G16" i="20" s="1"/>
  <c r="G17" i="20" s="1"/>
  <c r="G18" i="20" s="1"/>
  <c r="G19" i="20" s="1"/>
  <c r="G20" i="20" s="1"/>
  <c r="G21" i="20" s="1"/>
  <c r="G22" i="20" s="1"/>
  <c r="G23" i="20" s="1"/>
  <c r="G24" i="20" s="1"/>
  <c r="G25" i="20" s="1"/>
  <c r="G26" i="20" s="1"/>
  <c r="G27" i="20" s="1"/>
  <c r="G28" i="20" s="1"/>
  <c r="G29" i="20" s="1"/>
  <c r="G30" i="20" s="1"/>
  <c r="G31" i="20" s="1"/>
  <c r="G32" i="20" s="1"/>
  <c r="G33" i="20" s="1"/>
  <c r="G34" i="20" s="1"/>
  <c r="G35" i="20" s="1"/>
  <c r="G36" i="20" s="1"/>
  <c r="G37" i="20" s="1"/>
  <c r="G38" i="20" s="1"/>
  <c r="G39" i="20" s="1"/>
  <c r="G40" i="20" s="1"/>
  <c r="G41" i="20" s="1"/>
  <c r="G42" i="20" s="1"/>
  <c r="G43" i="20" s="1"/>
  <c r="G44" i="20" s="1"/>
  <c r="G46" i="20"/>
  <c r="G47" i="20" s="1"/>
  <c r="I5" i="20"/>
  <c r="G6" i="19"/>
  <c r="G7" i="19" s="1"/>
  <c r="G8" i="19" s="1"/>
  <c r="G9" i="19" s="1"/>
  <c r="G10" i="19" s="1"/>
  <c r="G11" i="19" s="1"/>
  <c r="G12" i="19" s="1"/>
  <c r="G13" i="19" s="1"/>
  <c r="G14" i="19" s="1"/>
  <c r="G15" i="19" s="1"/>
  <c r="G16" i="19" s="1"/>
  <c r="G17" i="19" s="1"/>
  <c r="G18" i="19" s="1"/>
  <c r="G19" i="19" s="1"/>
  <c r="G20" i="19" s="1"/>
  <c r="G21" i="19" s="1"/>
  <c r="G22" i="19" s="1"/>
  <c r="G23" i="19" s="1"/>
  <c r="G24" i="19" s="1"/>
  <c r="G25" i="19" s="1"/>
  <c r="G26" i="19" s="1"/>
  <c r="G27" i="19" s="1"/>
  <c r="G28" i="19" s="1"/>
  <c r="G29" i="19" s="1"/>
  <c r="G30" i="19" s="1"/>
  <c r="G31" i="19" s="1"/>
  <c r="G32" i="19" s="1"/>
  <c r="G33" i="19" s="1"/>
  <c r="G34" i="19" s="1"/>
  <c r="G35" i="19" s="1"/>
  <c r="G36" i="19" s="1"/>
  <c r="G37" i="19" s="1"/>
  <c r="G38" i="19" s="1"/>
  <c r="G39" i="19" s="1"/>
  <c r="G40" i="19" s="1"/>
  <c r="G41" i="19" s="1"/>
  <c r="G42" i="19" s="1"/>
  <c r="G43" i="19" s="1"/>
  <c r="G44" i="19" s="1"/>
  <c r="I5" i="19"/>
  <c r="G46" i="19"/>
  <c r="G47" i="19" s="1"/>
</calcChain>
</file>

<file path=xl/sharedStrings.xml><?xml version="1.0" encoding="utf-8"?>
<sst xmlns="http://schemas.openxmlformats.org/spreadsheetml/2006/main" count="380" uniqueCount="148">
  <si>
    <t>No</t>
  </si>
  <si>
    <t>Tanggal</t>
  </si>
  <si>
    <t>Uraian Transaksi</t>
  </si>
  <si>
    <t>Saldo (Rp)</t>
  </si>
  <si>
    <t>Keterangan</t>
  </si>
  <si>
    <t xml:space="preserve">Transaksi Bulan ini </t>
  </si>
  <si>
    <t>Jumlah Transaksi Sampai Bulan ini</t>
  </si>
  <si>
    <t xml:space="preserve">Total Transaksi Sampai Bulan ini </t>
  </si>
  <si>
    <t>Debet (Rp)</t>
  </si>
  <si>
    <t>Kredit (Rp)</t>
  </si>
  <si>
    <t>Bukti</t>
  </si>
  <si>
    <t>KOPERASI DESA MERAH PUTIH (KDMP) KALURAHAN  PALBAPANG</t>
  </si>
  <si>
    <t>Bendahara</t>
  </si>
  <si>
    <t>Saldo Bulan Lalu</t>
  </si>
  <si>
    <t>Periode 31 Januari 2026</t>
  </si>
  <si>
    <t>Bantul , 31 Januari  2026</t>
  </si>
  <si>
    <t>Periode 31 Maret 2026</t>
  </si>
  <si>
    <t>Periode 28 Pebruari 2026</t>
  </si>
  <si>
    <t>Bantul , 28 Pebruari 2026</t>
  </si>
  <si>
    <t>Bantul , 31 Maret 2026</t>
  </si>
  <si>
    <t>Bantul , 30 April 2026</t>
  </si>
  <si>
    <t>Bantul , 31 Mei 2026</t>
  </si>
  <si>
    <t>Periode 31  Mei  2026</t>
  </si>
  <si>
    <t>Periode 30 april  2026</t>
  </si>
  <si>
    <t>Bantul , 30 Juni 2026</t>
  </si>
  <si>
    <t>Bantul , 31 Juli 2026</t>
  </si>
  <si>
    <t>Periode 31 Juli  2026</t>
  </si>
  <si>
    <t>Periode 31 Agustus 2026</t>
  </si>
  <si>
    <t>Bantul , 31 Agustus  2026</t>
  </si>
  <si>
    <t>Bantul , 30 September  2026</t>
  </si>
  <si>
    <t>Periode 30 September 2026</t>
  </si>
  <si>
    <t>Periode 31 Oktober  2026</t>
  </si>
  <si>
    <t>Periode 30 Nopember   2026</t>
  </si>
  <si>
    <t>Bantul , 30 Nopember   2026</t>
  </si>
  <si>
    <t>Bantul , 31 Oktober 2026</t>
  </si>
  <si>
    <t>Periode 31 Desember   2026</t>
  </si>
  <si>
    <t>Bantul , 31 Desember 2026</t>
  </si>
  <si>
    <t>BUKU KAS UMUM</t>
  </si>
  <si>
    <t>Modal Usaha Pospay</t>
  </si>
  <si>
    <t>Terima Simpanan wajib anggota an Sarjiyem</t>
  </si>
  <si>
    <t>Terima Simpanan wajib anggota an Muflichah Zain</t>
  </si>
  <si>
    <t>Januari</t>
  </si>
  <si>
    <t>Terima Simpanan pokok anggota an G Supriono</t>
  </si>
  <si>
    <t>Terima Simpanan wajib anggota an G Supriono</t>
  </si>
  <si>
    <t>anggota Desember</t>
  </si>
  <si>
    <t>Desember</t>
  </si>
  <si>
    <t>Terima Simpanan wajib anggota an Wening P</t>
  </si>
  <si>
    <t>Terima Simpanan wajib anggota an Asri Dwi</t>
  </si>
  <si>
    <t>Terima Simpanan pokok anggota an Edy S</t>
  </si>
  <si>
    <t>Terima Simpanan wajib anggota an Edy S</t>
  </si>
  <si>
    <t>Anggota Juni</t>
  </si>
  <si>
    <t>Juni - Des 25</t>
  </si>
  <si>
    <t>Terima Simpanan pokok anggota an Sajiya</t>
  </si>
  <si>
    <t>Terima Simpanan wajib anggota an Sajiya</t>
  </si>
  <si>
    <t>Terima Simpanan pokok anggota an Subekti Fauzan</t>
  </si>
  <si>
    <t>Terima Simpanan wajib anggota an Subekti Fauzan</t>
  </si>
  <si>
    <t>Terima Simpanan pokok anggota an Rudito</t>
  </si>
  <si>
    <t>Terima Simpanan wajib anggota an Rudito</t>
  </si>
  <si>
    <t>Terima Simpanan pokok anggota an Toni Sunardi</t>
  </si>
  <si>
    <t>Terima Simpanan wajib anggota an Toni Sunardi</t>
  </si>
  <si>
    <t>Terima Simpanan pokok anggota an Ahmadi</t>
  </si>
  <si>
    <t>Terima Simpanan wajib anggota an Ahmadi</t>
  </si>
  <si>
    <t>Terima Simpanan pokok anggota an Andi Sanjaya</t>
  </si>
  <si>
    <t>Terima Simpanan wajib anggota an Andi Sanjaya</t>
  </si>
  <si>
    <t>Terima Simpanan pokok anggota an Lis Purbandari</t>
  </si>
  <si>
    <t>Terima Simpanan wajib anggota an  Lis Purbandari</t>
  </si>
  <si>
    <t>Terima Simpanan pokok anggota an Sukiran</t>
  </si>
  <si>
    <t>Terima Simpanan wajib anggota an Sukiran</t>
  </si>
  <si>
    <t>Terima Simpanan pokok anggota an Mukijan</t>
  </si>
  <si>
    <t>Terima Simpanan wajib anggota an Mukijan</t>
  </si>
  <si>
    <t>Terima Simpanan pokok anggota an Surono</t>
  </si>
  <si>
    <t>Terima Simpanan wajib anggota an Surono</t>
  </si>
  <si>
    <t>Terima Simpanan wajib anggota an Gunardi</t>
  </si>
  <si>
    <t>Terima Simpanan pokok anggota an Slamet</t>
  </si>
  <si>
    <t>Terima Simpanan wajib anggota an Slamet</t>
  </si>
  <si>
    <t>Terima Simpanan pokok anggota an Rohadi</t>
  </si>
  <si>
    <t>Terima Simpanan wajib anggota an Rohadi</t>
  </si>
  <si>
    <t>Anggota Jan 26</t>
  </si>
  <si>
    <t>Jan - Sept 26</t>
  </si>
  <si>
    <t>Terima Simpanan pokok anggota an Sri Suratmi</t>
  </si>
  <si>
    <t>Terima Simpanan wajib anggota an Sri Suratmi</t>
  </si>
  <si>
    <t>Terima Simpanan wajib anggota an ARIS MUNANDAR</t>
  </si>
  <si>
    <t>Terima Simpanan wajib anggota an  SITI JUNIANTI</t>
  </si>
  <si>
    <t>Terima Simpanan wajib anggota an  SUGENG WAHONO</t>
  </si>
  <si>
    <t>Terima Simpanan wajib anggota an  MATAHARI RIZQI</t>
  </si>
  <si>
    <t>Terima Simpanan wajib anggota an  JUWANTO</t>
  </si>
  <si>
    <t>Terima Simpanan wajib anggota an  JULI KURNIAWAN</t>
  </si>
  <si>
    <t>Terima Simpanan wajib anggota an  RISMANTO</t>
  </si>
  <si>
    <t>Terima Simpanan wajib anggota an  TRI KURNIAWATI, SE</t>
  </si>
  <si>
    <t>Terima Simpanan wajib anggota an TRI HARYANTA</t>
  </si>
  <si>
    <t>Terima Simpanan wajib anggota an AMINAH</t>
  </si>
  <si>
    <t>Terima Simpanan wajib anggota an  FADLAN IKHSAN</t>
  </si>
  <si>
    <t>Terima Simpanan pokok anggota an Nurwanto</t>
  </si>
  <si>
    <t>Terima Simpanan wajib anggota an Nurwanto</t>
  </si>
  <si>
    <t>Terima Simpanan pokok anggota an Siti Umiati</t>
  </si>
  <si>
    <t>Terima Simpanan wajib anggota an Siti Umiati</t>
  </si>
  <si>
    <t>Pak Sodikin tf ke.rek KDMP</t>
  </si>
  <si>
    <t>Pak Tejo tf ke.rek KDMP</t>
  </si>
  <si>
    <t>Terima Simpanan Wajib an Pak Sukirman, SH</t>
  </si>
  <si>
    <t>Terima Simpanan Wajib an Siti Akiri</t>
  </si>
  <si>
    <t>Juli - Des 25</t>
  </si>
  <si>
    <t>Des - Nov 26</t>
  </si>
  <si>
    <t>Terima Simpanan Pokok an Suprihatiningsih</t>
  </si>
  <si>
    <t>Terima Simpanan Wajib an Suprihatiningsih</t>
  </si>
  <si>
    <t>Setor ke Bidang Usaha pembelian Banew Pak Tejo</t>
  </si>
  <si>
    <t>Setor ke Bidang Usaha  pembelian Banew Pak Sodikin</t>
  </si>
  <si>
    <t>Terima Simpanan Wajib an Sarjiyem</t>
  </si>
  <si>
    <t>Terima Simpanan Wajib an Wening</t>
  </si>
  <si>
    <t>Feb - April 26</t>
  </si>
  <si>
    <t>Feb - Mart 26</t>
  </si>
  <si>
    <t>Terima Simpanan Wajib an Muflichah Zain</t>
  </si>
  <si>
    <t>Terima Simpanan Wajib an Asri Dwi</t>
  </si>
  <si>
    <t>Feb - Juni 26</t>
  </si>
  <si>
    <t>Terima Simpanan Pokok dan Wajib an Niken Andriyani</t>
  </si>
  <si>
    <t>Feb - Nov 26</t>
  </si>
  <si>
    <t>Terima Simpanan Wajib an Paryana</t>
  </si>
  <si>
    <t>Terima Simpanan Wajib an Ari Fariyanta</t>
  </si>
  <si>
    <t>Saldo Kas Bulan Lalu</t>
  </si>
  <si>
    <t>Terima Simpanan Wajib an Pertiwi (cek ulang)</t>
  </si>
  <si>
    <t>Jan - Sept</t>
  </si>
  <si>
    <t>Terima simpanan wajib an Sugeng Wahyudi</t>
  </si>
  <si>
    <t>Mart - Des 26</t>
  </si>
  <si>
    <t>Modal Mitra Yudi Broiler_SPPG Trirenggo</t>
  </si>
  <si>
    <t>Pengembalian Mitra Yudi Broiler_SPPG Trirenggo</t>
  </si>
  <si>
    <t>bagi hasil 100rb</t>
  </si>
  <si>
    <t>Terima Pinjaman pihak ke-3</t>
  </si>
  <si>
    <t>Mengembalikan kepada pihak ke-3</t>
  </si>
  <si>
    <t>laba 80rb</t>
  </si>
  <si>
    <t>tf bri an Sariyem</t>
  </si>
  <si>
    <t>pinjam di 14 Maret</t>
  </si>
  <si>
    <t>Untuk mengembalikan pihak ke-3 operasional</t>
  </si>
  <si>
    <t>Terima Simpanan Pokok dan Wajib an Budi H</t>
  </si>
  <si>
    <t>April - Mei</t>
  </si>
  <si>
    <t>laba 60rb</t>
  </si>
  <si>
    <t>Pembuatan Buku Simpanan Sumbermulyo</t>
  </si>
  <si>
    <t>laba 75rb</t>
  </si>
  <si>
    <t>Pembelian Stock Usaha Banew (2)</t>
  </si>
  <si>
    <t>Modal Unit Usaha Banew (1)</t>
  </si>
  <si>
    <t>Pembayaran Snack RATke bu Sarjiyem</t>
  </si>
  <si>
    <t>laba 165rb</t>
  </si>
  <si>
    <t>Periode 31 Juni 2026</t>
  </si>
  <si>
    <t>laba 170rb, tf ke rekening 700rb</t>
  </si>
  <si>
    <t>Penarikan dari rekening KDMP</t>
  </si>
  <si>
    <t>menyisakan saldo 4jt</t>
  </si>
  <si>
    <t>laba 125rb</t>
  </si>
  <si>
    <t xml:space="preserve">Setor ke operasional </t>
  </si>
  <si>
    <t>Setor ke oprasional laba buku tabungan</t>
  </si>
  <si>
    <t xml:space="preserve">Setor ke operasional Laba Pisang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</si>
</sst>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[$-421]dd\ mmmm\ yyyy;@"/>
    <numFmt numFmtId="165" formatCode="dd/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44" fontId="0" fillId="3" borderId="1" xfId="1" applyFont="1" applyFill="1" applyBorder="1"/>
    <xf numFmtId="43" fontId="0" fillId="0" borderId="0" xfId="2" applyFont="1"/>
    <xf numFmtId="44" fontId="0" fillId="4" borderId="1" xfId="1" applyFont="1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44" fontId="0" fillId="4" borderId="1" xfId="0" applyNumberFormat="1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1" xfId="0" applyFill="1" applyBorder="1" applyAlignment="1">
      <alignment horizontal="center"/>
    </xf>
    <xf numFmtId="0" fontId="0" fillId="4" borderId="0" xfId="0" applyFill="1"/>
    <xf numFmtId="0" fontId="0" fillId="4" borderId="1" xfId="0" applyFill="1" applyBorder="1"/>
    <xf numFmtId="164" fontId="0" fillId="4" borderId="1" xfId="0" applyNumberFormat="1" applyFill="1" applyBorder="1"/>
    <xf numFmtId="44" fontId="0" fillId="4" borderId="0" xfId="0" applyNumberFormat="1" applyFill="1"/>
    <xf numFmtId="44" fontId="0" fillId="4" borderId="0" xfId="0" applyNumberFormat="1" applyFill="1" applyAlignment="1">
      <alignment vertical="center"/>
    </xf>
    <xf numFmtId="164" fontId="0" fillId="4" borderId="1" xfId="0" applyNumberFormat="1" applyFill="1" applyBorder="1" applyAlignment="1">
      <alignment vertical="center"/>
    </xf>
    <xf numFmtId="165" fontId="0" fillId="4" borderId="1" xfId="0" applyNumberForma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44" fontId="5" fillId="2" borderId="1" xfId="0" applyNumberFormat="1" applyFont="1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15" fontId="0" fillId="0" borderId="1" xfId="0" applyNumberFormat="1" applyBorder="1" applyAlignment="1">
      <alignment horizontal="center" vertical="center"/>
    </xf>
    <xf numFmtId="0" fontId="5" fillId="2" borderId="2" xfId="0" applyFont="1" applyFill="1" applyBorder="1" applyAlignment="1">
      <alignment vertical="center" wrapText="1"/>
    </xf>
    <xf numFmtId="44" fontId="0" fillId="5" borderId="8" xfId="0" applyNumberFormat="1" applyFill="1" applyBorder="1" applyAlignment="1">
      <alignment vertical="center"/>
    </xf>
    <xf numFmtId="41" fontId="0" fillId="6" borderId="0" xfId="0" applyNumberFormat="1" applyFill="1"/>
    <xf numFmtId="42" fontId="0" fillId="7" borderId="0" xfId="0" applyNumberFormat="1" applyFill="1"/>
    <xf numFmtId="44" fontId="0" fillId="6" borderId="1" xfId="0" applyNumberFormat="1" applyFill="1" applyBorder="1" applyAlignment="1">
      <alignment vertical="center"/>
    </xf>
    <xf numFmtId="44" fontId="0" fillId="5" borderId="1" xfId="0" applyNumberFormat="1" applyFill="1" applyBorder="1" applyAlignment="1">
      <alignment vertical="center"/>
    </xf>
    <xf numFmtId="44" fontId="0" fillId="2" borderId="1" xfId="0" applyNumberFormat="1" applyFill="1" applyBorder="1" applyAlignment="1">
      <alignment vertical="center"/>
    </xf>
    <xf numFmtId="41" fontId="0" fillId="4" borderId="0" xfId="0" applyNumberFormat="1" applyFill="1"/>
    <xf numFmtId="42" fontId="1" fillId="4" borderId="1" xfId="3" applyNumberFormat="1" applyFont="1" applyFill="1" applyBorder="1" applyAlignment="1">
      <alignment horizontal="center" vertical="center"/>
    </xf>
    <xf numFmtId="42" fontId="0" fillId="0" borderId="1" xfId="3" applyNumberFormat="1" applyFont="1" applyFill="1" applyBorder="1"/>
    <xf numFmtId="42" fontId="0" fillId="0" borderId="1" xfId="3" applyNumberFormat="1" applyFont="1" applyFill="1" applyBorder="1" applyAlignment="1">
      <alignment horizontal="center" vertical="center"/>
    </xf>
    <xf numFmtId="42" fontId="0" fillId="0" borderId="1" xfId="3" applyNumberFormat="1" applyFont="1" applyBorder="1"/>
    <xf numFmtId="42" fontId="0" fillId="4" borderId="1" xfId="1" applyNumberFormat="1" applyFont="1" applyFill="1" applyBorder="1"/>
    <xf numFmtId="42" fontId="0" fillId="4" borderId="1" xfId="4" applyNumberFormat="1" applyFont="1" applyFill="1" applyBorder="1"/>
    <xf numFmtId="0" fontId="0" fillId="0" borderId="7" xfId="0" applyBorder="1" applyAlignment="1">
      <alignment wrapText="1"/>
    </xf>
    <xf numFmtId="165" fontId="5" fillId="0" borderId="1" xfId="0" applyNumberFormat="1" applyFont="1" applyBorder="1" applyAlignment="1">
      <alignment horizontal="center" vertical="center"/>
    </xf>
    <xf numFmtId="42" fontId="5" fillId="2" borderId="1" xfId="4" applyNumberFormat="1" applyFont="1" applyFill="1" applyBorder="1" applyAlignment="1">
      <alignment vertical="center"/>
    </xf>
    <xf numFmtId="42" fontId="0" fillId="4" borderId="1" xfId="4" applyNumberFormat="1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8" borderId="1" xfId="0" applyFill="1" applyBorder="1"/>
    <xf numFmtId="44" fontId="0" fillId="8" borderId="1" xfId="1" applyFont="1" applyFill="1" applyBorder="1"/>
    <xf numFmtId="0" fontId="0" fillId="9" borderId="1" xfId="0" applyFill="1" applyBorder="1"/>
    <xf numFmtId="44" fontId="0" fillId="9" borderId="1" xfId="1" applyFont="1" applyFill="1" applyBorder="1"/>
    <xf numFmtId="165" fontId="0" fillId="4" borderId="1" xfId="0" applyNumberFormat="1" applyFill="1" applyBorder="1" applyAlignment="1">
      <alignment vertical="center"/>
    </xf>
    <xf numFmtId="43" fontId="0" fillId="4" borderId="0" xfId="2" applyFont="1" applyFill="1"/>
    <xf numFmtId="44" fontId="0" fillId="0" borderId="0" xfId="0" applyNumberFormat="1"/>
    <xf numFmtId="0" fontId="5" fillId="3" borderId="2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44" fontId="0" fillId="6" borderId="1" xfId="1" applyFont="1" applyFill="1" applyBorder="1"/>
    <xf numFmtId="44" fontId="6" fillId="6" borderId="0" xfId="0" applyNumberFormat="1" applyFont="1" applyFill="1"/>
  </cellXfs>
  <cellStyles count="5">
    <cellStyle name="Koma" xfId="2" builtinId="3"/>
    <cellStyle name="Koma [0]" xfId="4" builtinId="6"/>
    <cellStyle name="Koma [0] 2" xfId="3" xr:uid="{00000000-0005-0000-0000-000003000000}"/>
    <cellStyle name="Mata Uang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paoran%20Buku%20Kas%20Umum%20%20KDMP%20Palbapang_Tahun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ata%20BA/Laporan%20Bulanan%20BA/6.%20Palbapang/Laporan%20Keuangan/Bendahara/Kas%20Simpanan%20Anggota%20KDMP%20Palbapang.xlsx" TargetMode="External"/><Relationship Id="rId1" Type="http://schemas.openxmlformats.org/officeDocument/2006/relationships/externalLinkPath" Target="/21f7261dde601367/Dokumen/Data%20BA/Laporan%20Bulanan%20BA/6.%20Palbapang/Laporan%20Keuangan/Bendahara/Kas%20Simpanan%20Anggota%20KDMP%20Palbapa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1f7261dde601367/Dokumen/BA_2026/Laporan%20BA/KDMP%20Palbapang/Laporan%20Buku%20Kas%20Operasional%20KDMP%20Palbapang_Tahun%202026.xlsx" TargetMode="External"/><Relationship Id="rId1" Type="http://schemas.openxmlformats.org/officeDocument/2006/relationships/externalLinkPath" Target="Laporan%20Buku%20Kas%20Operasional%20KDMP%20Palbapang_Tahu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st"/>
      <sheetName val="September"/>
      <sheetName val="Oktober"/>
      <sheetName val="Nopember "/>
      <sheetName val="Desember "/>
    </sheetNames>
    <sheetDataSet>
      <sheetData sheetId="0"/>
      <sheetData sheetId="1"/>
      <sheetData sheetId="2"/>
      <sheetData sheetId="3"/>
      <sheetData sheetId="4">
        <row r="49">
          <cell r="E49">
            <v>3700000</v>
          </cell>
          <cell r="F49">
            <v>282000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impanan anggota"/>
      <sheetName val="usaha"/>
    </sheetNames>
    <sheetDataSet>
      <sheetData sheetId="0">
        <row r="31">
          <cell r="F31">
            <v>16960000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i"/>
      <sheetName val="Pebruari"/>
      <sheetName val="Maret"/>
      <sheetName val="April"/>
      <sheetName val="Mei"/>
      <sheetName val="Juni "/>
      <sheetName val="Juli"/>
      <sheetName val="Agustus"/>
      <sheetName val="September"/>
      <sheetName val="Oktober "/>
      <sheetName val="Nopember "/>
      <sheetName val="Desember"/>
    </sheetNames>
    <sheetDataSet>
      <sheetData sheetId="0"/>
      <sheetData sheetId="1"/>
      <sheetData sheetId="2"/>
      <sheetData sheetId="3"/>
      <sheetData sheetId="4"/>
      <sheetData sheetId="5">
        <row r="9">
          <cell r="I9">
            <v>141775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63"/>
  <sheetViews>
    <sheetView topLeftCell="A24" zoomScale="104" zoomScaleNormal="104" workbookViewId="0">
      <selection activeCell="G60" sqref="G60"/>
    </sheetView>
  </sheetViews>
  <sheetFormatPr defaultRowHeight="14.5" x14ac:dyDescent="0.35"/>
  <cols>
    <col min="1" max="1" width="5" customWidth="1"/>
    <col min="2" max="2" width="13.54296875" customWidth="1"/>
    <col min="3" max="3" width="51.453125" customWidth="1"/>
    <col min="4" max="4" width="7" customWidth="1"/>
    <col min="5" max="7" width="16.54296875" customWidth="1"/>
    <col min="8" max="8" width="19" customWidth="1"/>
    <col min="9" max="9" width="14.81640625" bestFit="1" customWidth="1"/>
    <col min="11" max="11" width="12.26953125" bestFit="1" customWidth="1"/>
  </cols>
  <sheetData>
    <row r="1" spans="1:9" ht="15.5" x14ac:dyDescent="0.35">
      <c r="A1" s="60" t="s">
        <v>11</v>
      </c>
      <c r="B1" s="60"/>
      <c r="C1" s="60"/>
      <c r="D1" s="60"/>
      <c r="E1" s="60"/>
      <c r="F1" s="60"/>
      <c r="G1" s="60"/>
      <c r="H1" s="60"/>
    </row>
    <row r="2" spans="1:9" ht="15.5" x14ac:dyDescent="0.35">
      <c r="A2" s="60" t="s">
        <v>37</v>
      </c>
      <c r="B2" s="60"/>
      <c r="C2" s="60"/>
      <c r="D2" s="60"/>
      <c r="E2" s="60"/>
      <c r="F2" s="60"/>
      <c r="G2" s="60"/>
      <c r="H2" s="60"/>
    </row>
    <row r="3" spans="1:9" ht="15.5" x14ac:dyDescent="0.35">
      <c r="A3" s="60" t="s">
        <v>14</v>
      </c>
      <c r="B3" s="60"/>
      <c r="C3" s="60"/>
      <c r="D3" s="60"/>
      <c r="E3" s="60"/>
      <c r="F3" s="60"/>
      <c r="G3" s="60"/>
      <c r="H3" s="60"/>
    </row>
    <row r="4" spans="1:9" ht="16" thickBot="1" x14ac:dyDescent="0.4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9" s="11" customFormat="1" ht="15" thickBot="1" x14ac:dyDescent="0.4">
      <c r="A5" s="25">
        <v>1</v>
      </c>
      <c r="B5" s="20">
        <v>46023</v>
      </c>
      <c r="C5" s="21" t="s">
        <v>117</v>
      </c>
      <c r="D5" s="22"/>
      <c r="E5" s="23">
        <f>'[1]Desember '!$E$49</f>
        <v>3700000</v>
      </c>
      <c r="F5" s="23">
        <f>'[1]Desember '!$F$49</f>
        <v>282000</v>
      </c>
      <c r="G5" s="23">
        <f>E5-F5</f>
        <v>3418000</v>
      </c>
      <c r="H5" s="30"/>
      <c r="I5" s="31"/>
    </row>
    <row r="6" spans="1:9" s="13" customFormat="1" x14ac:dyDescent="0.35">
      <c r="A6" s="12">
        <v>2</v>
      </c>
      <c r="B6" s="26">
        <v>46023</v>
      </c>
      <c r="C6" s="1" t="s">
        <v>39</v>
      </c>
      <c r="D6" s="9"/>
      <c r="E6" s="38">
        <v>20000</v>
      </c>
      <c r="F6" s="38">
        <v>0</v>
      </c>
      <c r="G6" s="10">
        <f>G5+E6-F6</f>
        <v>3438000</v>
      </c>
      <c r="H6" s="9" t="s">
        <v>41</v>
      </c>
      <c r="I6" s="32"/>
    </row>
    <row r="7" spans="1:9" s="13" customFormat="1" x14ac:dyDescent="0.35">
      <c r="A7" s="12">
        <v>3</v>
      </c>
      <c r="B7" s="26">
        <v>46024</v>
      </c>
      <c r="C7" s="1" t="s">
        <v>40</v>
      </c>
      <c r="D7" s="14"/>
      <c r="E7" s="38">
        <v>20000</v>
      </c>
      <c r="F7" s="39">
        <v>0</v>
      </c>
      <c r="G7" s="10">
        <f t="shared" ref="G7:G57" si="0">G6+E7-F7</f>
        <v>3458000</v>
      </c>
      <c r="H7" s="9" t="s">
        <v>41</v>
      </c>
      <c r="I7" s="33"/>
    </row>
    <row r="8" spans="1:9" s="13" customFormat="1" x14ac:dyDescent="0.35">
      <c r="A8" s="12">
        <v>4</v>
      </c>
      <c r="B8" s="26">
        <v>46027</v>
      </c>
      <c r="C8" s="1" t="s">
        <v>137</v>
      </c>
      <c r="D8" s="14"/>
      <c r="E8" s="39">
        <v>0</v>
      </c>
      <c r="F8" s="39">
        <v>2477500</v>
      </c>
      <c r="G8" s="10">
        <f t="shared" si="0"/>
        <v>980500</v>
      </c>
      <c r="H8" s="14"/>
    </row>
    <row r="9" spans="1:9" s="13" customFormat="1" x14ac:dyDescent="0.35">
      <c r="A9" s="12">
        <v>5</v>
      </c>
      <c r="B9" s="26"/>
      <c r="C9" s="1" t="s">
        <v>42</v>
      </c>
      <c r="D9" s="14"/>
      <c r="E9" s="40">
        <v>100000</v>
      </c>
      <c r="F9" s="40">
        <v>0</v>
      </c>
      <c r="G9" s="10">
        <f t="shared" si="0"/>
        <v>1080500</v>
      </c>
      <c r="H9" s="14" t="s">
        <v>44</v>
      </c>
    </row>
    <row r="10" spans="1:9" s="13" customFormat="1" x14ac:dyDescent="0.35">
      <c r="A10" s="12">
        <v>6</v>
      </c>
      <c r="B10" s="27"/>
      <c r="C10" s="1" t="s">
        <v>43</v>
      </c>
      <c r="D10" s="14"/>
      <c r="E10" s="39">
        <v>20000</v>
      </c>
      <c r="F10" s="40">
        <v>0</v>
      </c>
      <c r="G10" s="10">
        <f t="shared" si="0"/>
        <v>1100500</v>
      </c>
      <c r="H10" s="14" t="s">
        <v>45</v>
      </c>
    </row>
    <row r="11" spans="1:9" s="13" customFormat="1" x14ac:dyDescent="0.35">
      <c r="A11" s="12">
        <v>7</v>
      </c>
      <c r="B11" s="29"/>
      <c r="C11" s="1" t="s">
        <v>46</v>
      </c>
      <c r="D11" s="14"/>
      <c r="E11" s="39">
        <v>20000</v>
      </c>
      <c r="F11" s="40">
        <v>0</v>
      </c>
      <c r="G11" s="10">
        <f t="shared" si="0"/>
        <v>1120500</v>
      </c>
      <c r="H11" s="9" t="s">
        <v>41</v>
      </c>
    </row>
    <row r="12" spans="1:9" s="13" customFormat="1" x14ac:dyDescent="0.35">
      <c r="A12" s="12">
        <v>8</v>
      </c>
      <c r="B12" s="27"/>
      <c r="C12" s="1" t="s">
        <v>47</v>
      </c>
      <c r="D12" s="14"/>
      <c r="E12" s="39">
        <v>20000</v>
      </c>
      <c r="F12" s="40">
        <v>0</v>
      </c>
      <c r="G12" s="10">
        <f t="shared" si="0"/>
        <v>1140500</v>
      </c>
      <c r="H12" s="9" t="s">
        <v>41</v>
      </c>
    </row>
    <row r="13" spans="1:9" s="13" customFormat="1" x14ac:dyDescent="0.35">
      <c r="A13" s="12">
        <v>9</v>
      </c>
      <c r="B13" s="27"/>
      <c r="C13" s="1" t="s">
        <v>48</v>
      </c>
      <c r="D13" s="14"/>
      <c r="E13" s="41">
        <v>100000</v>
      </c>
      <c r="F13" s="40">
        <v>0</v>
      </c>
      <c r="G13" s="10">
        <f t="shared" si="0"/>
        <v>1240500</v>
      </c>
      <c r="H13" s="14" t="s">
        <v>50</v>
      </c>
    </row>
    <row r="14" spans="1:9" s="13" customFormat="1" x14ac:dyDescent="0.35">
      <c r="A14" s="12">
        <v>10</v>
      </c>
      <c r="B14" s="19"/>
      <c r="C14" s="1" t="s">
        <v>49</v>
      </c>
      <c r="D14" s="14"/>
      <c r="E14" s="42">
        <v>140000</v>
      </c>
      <c r="F14" s="40">
        <v>0</v>
      </c>
      <c r="G14" s="10">
        <f t="shared" si="0"/>
        <v>1380500</v>
      </c>
      <c r="H14" s="14" t="s">
        <v>51</v>
      </c>
    </row>
    <row r="15" spans="1:9" s="13" customFormat="1" x14ac:dyDescent="0.35">
      <c r="A15" s="12">
        <v>11</v>
      </c>
      <c r="B15" s="18"/>
      <c r="C15" s="1" t="s">
        <v>52</v>
      </c>
      <c r="D15" s="14"/>
      <c r="E15" s="41">
        <v>100000</v>
      </c>
      <c r="F15" s="40">
        <v>0</v>
      </c>
      <c r="G15" s="10">
        <f t="shared" si="0"/>
        <v>1480500</v>
      </c>
      <c r="H15" s="14" t="s">
        <v>50</v>
      </c>
    </row>
    <row r="16" spans="1:9" s="13" customFormat="1" x14ac:dyDescent="0.35">
      <c r="A16" s="12">
        <v>12</v>
      </c>
      <c r="B16" s="18"/>
      <c r="C16" s="1" t="s">
        <v>53</v>
      </c>
      <c r="D16" s="14"/>
      <c r="E16" s="42">
        <v>140000</v>
      </c>
      <c r="F16" s="40">
        <v>0</v>
      </c>
      <c r="G16" s="10">
        <f t="shared" si="0"/>
        <v>1620500</v>
      </c>
      <c r="H16" s="14" t="s">
        <v>51</v>
      </c>
    </row>
    <row r="17" spans="1:8" s="13" customFormat="1" x14ac:dyDescent="0.35">
      <c r="A17" s="12">
        <v>13</v>
      </c>
      <c r="B17" s="18"/>
      <c r="C17" s="1" t="s">
        <v>54</v>
      </c>
      <c r="D17" s="14"/>
      <c r="E17" s="41">
        <v>100000</v>
      </c>
      <c r="F17" s="40">
        <v>0</v>
      </c>
      <c r="G17" s="10">
        <f t="shared" si="0"/>
        <v>1720500</v>
      </c>
      <c r="H17" s="14" t="s">
        <v>50</v>
      </c>
    </row>
    <row r="18" spans="1:8" s="13" customFormat="1" x14ac:dyDescent="0.35">
      <c r="A18" s="12">
        <v>14</v>
      </c>
      <c r="B18" s="18"/>
      <c r="C18" s="1" t="s">
        <v>55</v>
      </c>
      <c r="D18" s="14"/>
      <c r="E18" s="42">
        <v>140000</v>
      </c>
      <c r="F18" s="40">
        <v>0</v>
      </c>
      <c r="G18" s="10">
        <f t="shared" si="0"/>
        <v>1860500</v>
      </c>
      <c r="H18" s="14" t="s">
        <v>51</v>
      </c>
    </row>
    <row r="19" spans="1:8" s="13" customFormat="1" x14ac:dyDescent="0.35">
      <c r="A19" s="12">
        <v>15</v>
      </c>
      <c r="B19" s="18"/>
      <c r="C19" s="1" t="s">
        <v>56</v>
      </c>
      <c r="D19" s="14"/>
      <c r="E19" s="41">
        <v>100000</v>
      </c>
      <c r="F19" s="40">
        <v>0</v>
      </c>
      <c r="G19" s="10">
        <f t="shared" si="0"/>
        <v>1960500</v>
      </c>
      <c r="H19" s="14" t="s">
        <v>50</v>
      </c>
    </row>
    <row r="20" spans="1:8" s="13" customFormat="1" x14ac:dyDescent="0.35">
      <c r="A20" s="12">
        <v>16</v>
      </c>
      <c r="B20" s="18"/>
      <c r="C20" s="1" t="s">
        <v>57</v>
      </c>
      <c r="D20" s="14"/>
      <c r="E20" s="42">
        <v>140000</v>
      </c>
      <c r="F20" s="40">
        <v>0</v>
      </c>
      <c r="G20" s="10">
        <f t="shared" si="0"/>
        <v>2100500</v>
      </c>
      <c r="H20" s="14" t="s">
        <v>51</v>
      </c>
    </row>
    <row r="21" spans="1:8" s="13" customFormat="1" x14ac:dyDescent="0.35">
      <c r="A21" s="12">
        <v>17</v>
      </c>
      <c r="B21" s="18"/>
      <c r="C21" s="1" t="s">
        <v>58</v>
      </c>
      <c r="D21" s="14"/>
      <c r="E21" s="41">
        <v>100000</v>
      </c>
      <c r="F21" s="40">
        <v>0</v>
      </c>
      <c r="G21" s="10">
        <f t="shared" si="0"/>
        <v>2200500</v>
      </c>
      <c r="H21" s="14" t="s">
        <v>50</v>
      </c>
    </row>
    <row r="22" spans="1:8" s="13" customFormat="1" x14ac:dyDescent="0.35">
      <c r="A22" s="12">
        <v>18</v>
      </c>
      <c r="B22" s="18"/>
      <c r="C22" s="1" t="s">
        <v>59</v>
      </c>
      <c r="D22" s="14"/>
      <c r="E22" s="42">
        <v>140000</v>
      </c>
      <c r="F22" s="40">
        <v>0</v>
      </c>
      <c r="G22" s="10">
        <f t="shared" si="0"/>
        <v>2340500</v>
      </c>
      <c r="H22" s="14" t="s">
        <v>51</v>
      </c>
    </row>
    <row r="23" spans="1:8" s="13" customFormat="1" x14ac:dyDescent="0.35">
      <c r="A23" s="12">
        <v>19</v>
      </c>
      <c r="B23" s="18"/>
      <c r="C23" s="1" t="s">
        <v>60</v>
      </c>
      <c r="D23" s="14"/>
      <c r="E23" s="41">
        <v>100000</v>
      </c>
      <c r="F23" s="40">
        <v>0</v>
      </c>
      <c r="G23" s="10">
        <f t="shared" si="0"/>
        <v>2440500</v>
      </c>
      <c r="H23" s="14" t="s">
        <v>50</v>
      </c>
    </row>
    <row r="24" spans="1:8" s="13" customFormat="1" x14ac:dyDescent="0.35">
      <c r="A24" s="12">
        <v>20</v>
      </c>
      <c r="B24" s="18"/>
      <c r="C24" s="1" t="s">
        <v>61</v>
      </c>
      <c r="D24" s="14"/>
      <c r="E24" s="42">
        <v>140000</v>
      </c>
      <c r="F24" s="40">
        <v>0</v>
      </c>
      <c r="G24" s="10">
        <f t="shared" si="0"/>
        <v>2580500</v>
      </c>
      <c r="H24" s="14" t="s">
        <v>51</v>
      </c>
    </row>
    <row r="25" spans="1:8" s="13" customFormat="1" x14ac:dyDescent="0.35">
      <c r="A25" s="12">
        <v>21</v>
      </c>
      <c r="B25" s="18"/>
      <c r="C25" s="1" t="s">
        <v>62</v>
      </c>
      <c r="D25" s="14"/>
      <c r="E25" s="41">
        <v>100000</v>
      </c>
      <c r="F25" s="40">
        <v>0</v>
      </c>
      <c r="G25" s="10">
        <f t="shared" si="0"/>
        <v>2680500</v>
      </c>
      <c r="H25" s="14" t="s">
        <v>50</v>
      </c>
    </row>
    <row r="26" spans="1:8" s="13" customFormat="1" x14ac:dyDescent="0.35">
      <c r="A26" s="12">
        <v>22</v>
      </c>
      <c r="B26" s="18"/>
      <c r="C26" s="1" t="s">
        <v>63</v>
      </c>
      <c r="D26" s="14"/>
      <c r="E26" s="42">
        <v>140000</v>
      </c>
      <c r="F26" s="40">
        <v>0</v>
      </c>
      <c r="G26" s="10">
        <f t="shared" si="0"/>
        <v>2820500</v>
      </c>
      <c r="H26" s="14" t="s">
        <v>51</v>
      </c>
    </row>
    <row r="27" spans="1:8" s="13" customFormat="1" x14ac:dyDescent="0.35">
      <c r="A27" s="12">
        <v>23</v>
      </c>
      <c r="B27" s="18"/>
      <c r="C27" s="1" t="s">
        <v>64</v>
      </c>
      <c r="D27" s="14"/>
      <c r="E27" s="41">
        <v>100000</v>
      </c>
      <c r="F27" s="40">
        <v>0</v>
      </c>
      <c r="G27" s="10">
        <f t="shared" si="0"/>
        <v>2920500</v>
      </c>
      <c r="H27" s="14" t="s">
        <v>50</v>
      </c>
    </row>
    <row r="28" spans="1:8" s="13" customFormat="1" x14ac:dyDescent="0.35">
      <c r="A28" s="12">
        <v>24</v>
      </c>
      <c r="B28" s="18"/>
      <c r="C28" s="1" t="s">
        <v>65</v>
      </c>
      <c r="D28" s="14"/>
      <c r="E28" s="42">
        <v>140000</v>
      </c>
      <c r="F28" s="40">
        <v>0</v>
      </c>
      <c r="G28" s="10">
        <f t="shared" si="0"/>
        <v>3060500</v>
      </c>
      <c r="H28" s="14" t="s">
        <v>51</v>
      </c>
    </row>
    <row r="29" spans="1:8" s="13" customFormat="1" x14ac:dyDescent="0.35">
      <c r="A29" s="12">
        <v>25</v>
      </c>
      <c r="B29" s="18"/>
      <c r="C29" s="1" t="s">
        <v>66</v>
      </c>
      <c r="D29" s="14"/>
      <c r="E29" s="41">
        <v>100000</v>
      </c>
      <c r="F29" s="40">
        <v>0</v>
      </c>
      <c r="G29" s="10">
        <f t="shared" si="0"/>
        <v>3160500</v>
      </c>
      <c r="H29" s="14" t="s">
        <v>50</v>
      </c>
    </row>
    <row r="30" spans="1:8" s="13" customFormat="1" x14ac:dyDescent="0.35">
      <c r="A30" s="12">
        <v>26</v>
      </c>
      <c r="B30" s="18"/>
      <c r="C30" s="1" t="s">
        <v>67</v>
      </c>
      <c r="D30" s="14"/>
      <c r="E30" s="42">
        <v>140000</v>
      </c>
      <c r="F30" s="40">
        <v>0</v>
      </c>
      <c r="G30" s="10">
        <f t="shared" si="0"/>
        <v>3300500</v>
      </c>
      <c r="H30" s="14" t="s">
        <v>51</v>
      </c>
    </row>
    <row r="31" spans="1:8" s="13" customFormat="1" x14ac:dyDescent="0.35">
      <c r="A31" s="12">
        <v>27</v>
      </c>
      <c r="B31" s="18"/>
      <c r="C31" s="1" t="s">
        <v>68</v>
      </c>
      <c r="D31" s="14"/>
      <c r="E31" s="41">
        <v>100000</v>
      </c>
      <c r="F31" s="40">
        <v>0</v>
      </c>
      <c r="G31" s="10">
        <f t="shared" si="0"/>
        <v>3400500</v>
      </c>
      <c r="H31" s="14" t="s">
        <v>77</v>
      </c>
    </row>
    <row r="32" spans="1:8" s="13" customFormat="1" x14ac:dyDescent="0.35">
      <c r="A32" s="12">
        <v>28</v>
      </c>
      <c r="B32" s="18"/>
      <c r="C32" s="1" t="s">
        <v>69</v>
      </c>
      <c r="D32" s="14"/>
      <c r="E32" s="43">
        <v>20000</v>
      </c>
      <c r="F32" s="40">
        <v>0</v>
      </c>
      <c r="G32" s="10">
        <f t="shared" si="0"/>
        <v>3420500</v>
      </c>
      <c r="H32" s="14" t="s">
        <v>41</v>
      </c>
    </row>
    <row r="33" spans="1:8" s="13" customFormat="1" x14ac:dyDescent="0.35">
      <c r="A33" s="12">
        <v>29</v>
      </c>
      <c r="B33" s="18"/>
      <c r="C33" s="1" t="s">
        <v>70</v>
      </c>
      <c r="D33" s="14"/>
      <c r="E33" s="41">
        <v>100000</v>
      </c>
      <c r="F33" s="40">
        <v>0</v>
      </c>
      <c r="G33" s="10">
        <f t="shared" si="0"/>
        <v>3520500</v>
      </c>
      <c r="H33" s="14" t="s">
        <v>77</v>
      </c>
    </row>
    <row r="34" spans="1:8" s="13" customFormat="1" x14ac:dyDescent="0.35">
      <c r="A34" s="12">
        <v>30</v>
      </c>
      <c r="B34" s="18"/>
      <c r="C34" s="1" t="s">
        <v>71</v>
      </c>
      <c r="D34" s="14"/>
      <c r="E34" s="43">
        <v>20000</v>
      </c>
      <c r="F34" s="40">
        <v>0</v>
      </c>
      <c r="G34" s="10">
        <f t="shared" si="0"/>
        <v>3540500</v>
      </c>
      <c r="H34" s="14" t="s">
        <v>41</v>
      </c>
    </row>
    <row r="35" spans="1:8" s="13" customFormat="1" x14ac:dyDescent="0.35">
      <c r="A35" s="12">
        <v>31</v>
      </c>
      <c r="B35" s="18"/>
      <c r="C35" s="1" t="s">
        <v>72</v>
      </c>
      <c r="D35" s="14"/>
      <c r="E35" s="43">
        <v>20000</v>
      </c>
      <c r="F35" s="40">
        <v>0</v>
      </c>
      <c r="G35" s="10">
        <f t="shared" si="0"/>
        <v>3560500</v>
      </c>
      <c r="H35" s="14" t="s">
        <v>41</v>
      </c>
    </row>
    <row r="36" spans="1:8" s="13" customFormat="1" x14ac:dyDescent="0.35">
      <c r="A36" s="12">
        <v>32</v>
      </c>
      <c r="B36" s="18"/>
      <c r="C36" s="1" t="s">
        <v>73</v>
      </c>
      <c r="D36" s="14"/>
      <c r="E36" s="41">
        <v>100000</v>
      </c>
      <c r="F36" s="40">
        <v>0</v>
      </c>
      <c r="G36" s="10">
        <f t="shared" si="0"/>
        <v>3660500</v>
      </c>
      <c r="H36" s="14" t="s">
        <v>77</v>
      </c>
    </row>
    <row r="37" spans="1:8" s="13" customFormat="1" x14ac:dyDescent="0.35">
      <c r="A37" s="12">
        <v>33</v>
      </c>
      <c r="B37" s="18"/>
      <c r="C37" s="1" t="s">
        <v>74</v>
      </c>
      <c r="D37" s="14"/>
      <c r="E37" s="43">
        <v>20000</v>
      </c>
      <c r="F37" s="40">
        <v>0</v>
      </c>
      <c r="G37" s="10">
        <f t="shared" si="0"/>
        <v>3680500</v>
      </c>
      <c r="H37" s="14" t="s">
        <v>41</v>
      </c>
    </row>
    <row r="38" spans="1:8" s="13" customFormat="1" x14ac:dyDescent="0.35">
      <c r="A38" s="12">
        <v>34</v>
      </c>
      <c r="B38" s="18"/>
      <c r="C38" s="1" t="s">
        <v>75</v>
      </c>
      <c r="D38" s="14"/>
      <c r="E38" s="41">
        <v>100000</v>
      </c>
      <c r="F38" s="40">
        <v>0</v>
      </c>
      <c r="G38" s="10">
        <f t="shared" si="0"/>
        <v>3780500</v>
      </c>
      <c r="H38" s="14" t="s">
        <v>77</v>
      </c>
    </row>
    <row r="39" spans="1:8" s="13" customFormat="1" x14ac:dyDescent="0.35">
      <c r="A39" s="12">
        <v>35</v>
      </c>
      <c r="B39" s="18"/>
      <c r="C39" s="1" t="s">
        <v>76</v>
      </c>
      <c r="D39" s="14"/>
      <c r="E39" s="41">
        <v>100000</v>
      </c>
      <c r="F39" s="40">
        <v>0</v>
      </c>
      <c r="G39" s="10">
        <f t="shared" si="0"/>
        <v>3880500</v>
      </c>
      <c r="H39" s="14" t="s">
        <v>78</v>
      </c>
    </row>
    <row r="40" spans="1:8" s="13" customFormat="1" x14ac:dyDescent="0.35">
      <c r="A40" s="12">
        <v>36</v>
      </c>
      <c r="B40" s="18"/>
      <c r="C40" s="1" t="s">
        <v>79</v>
      </c>
      <c r="D40" s="14"/>
      <c r="E40" s="41">
        <v>100000</v>
      </c>
      <c r="F40" s="40">
        <v>0</v>
      </c>
      <c r="G40" s="10">
        <f t="shared" si="0"/>
        <v>3980500</v>
      </c>
      <c r="H40" s="14" t="s">
        <v>77</v>
      </c>
    </row>
    <row r="41" spans="1:8" s="13" customFormat="1" x14ac:dyDescent="0.35">
      <c r="A41" s="12">
        <v>37</v>
      </c>
      <c r="B41" s="18"/>
      <c r="C41" s="1" t="s">
        <v>80</v>
      </c>
      <c r="D41" s="14"/>
      <c r="E41" s="43">
        <v>20000</v>
      </c>
      <c r="F41" s="40">
        <v>0</v>
      </c>
      <c r="G41" s="10">
        <f t="shared" si="0"/>
        <v>4000500</v>
      </c>
      <c r="H41" s="14" t="s">
        <v>41</v>
      </c>
    </row>
    <row r="42" spans="1:8" s="13" customFormat="1" ht="17.25" customHeight="1" x14ac:dyDescent="0.35">
      <c r="A42" s="12">
        <v>38</v>
      </c>
      <c r="B42" s="18"/>
      <c r="C42" s="44" t="s">
        <v>81</v>
      </c>
      <c r="D42" s="14"/>
      <c r="E42" s="41">
        <v>100000</v>
      </c>
      <c r="F42" s="40">
        <v>0</v>
      </c>
      <c r="G42" s="10">
        <f t="shared" si="0"/>
        <v>4100500</v>
      </c>
      <c r="H42" s="14" t="s">
        <v>77</v>
      </c>
    </row>
    <row r="43" spans="1:8" s="13" customFormat="1" x14ac:dyDescent="0.35">
      <c r="A43" s="12">
        <v>39</v>
      </c>
      <c r="B43" s="18"/>
      <c r="C43" s="44" t="s">
        <v>82</v>
      </c>
      <c r="D43" s="14"/>
      <c r="E43" s="41">
        <v>100000</v>
      </c>
      <c r="F43" s="40">
        <v>0</v>
      </c>
      <c r="G43" s="10">
        <f t="shared" si="0"/>
        <v>4200500</v>
      </c>
      <c r="H43" s="14" t="s">
        <v>77</v>
      </c>
    </row>
    <row r="44" spans="1:8" s="13" customFormat="1" x14ac:dyDescent="0.35">
      <c r="A44" s="12">
        <v>40</v>
      </c>
      <c r="B44" s="18"/>
      <c r="C44" s="44" t="s">
        <v>84</v>
      </c>
      <c r="D44" s="14"/>
      <c r="E44" s="41">
        <v>100000</v>
      </c>
      <c r="F44" s="40">
        <v>0</v>
      </c>
      <c r="G44" s="10">
        <f t="shared" si="0"/>
        <v>4300500</v>
      </c>
      <c r="H44" s="14" t="s">
        <v>77</v>
      </c>
    </row>
    <row r="45" spans="1:8" s="13" customFormat="1" x14ac:dyDescent="0.35">
      <c r="A45" s="12">
        <v>41</v>
      </c>
      <c r="B45" s="18"/>
      <c r="C45" s="44" t="s">
        <v>83</v>
      </c>
      <c r="D45" s="14"/>
      <c r="E45" s="41">
        <v>100000</v>
      </c>
      <c r="F45" s="40">
        <v>0</v>
      </c>
      <c r="G45" s="10">
        <f t="shared" si="0"/>
        <v>4400500</v>
      </c>
      <c r="H45" s="14" t="s">
        <v>77</v>
      </c>
    </row>
    <row r="46" spans="1:8" s="13" customFormat="1" x14ac:dyDescent="0.35">
      <c r="A46" s="12">
        <v>42</v>
      </c>
      <c r="B46" s="18"/>
      <c r="C46" s="44" t="s">
        <v>85</v>
      </c>
      <c r="D46" s="14"/>
      <c r="E46" s="41">
        <v>100000</v>
      </c>
      <c r="F46" s="40">
        <v>0</v>
      </c>
      <c r="G46" s="10">
        <f t="shared" si="0"/>
        <v>4500500</v>
      </c>
      <c r="H46" s="14" t="s">
        <v>77</v>
      </c>
    </row>
    <row r="47" spans="1:8" s="13" customFormat="1" x14ac:dyDescent="0.35">
      <c r="A47" s="12">
        <v>43</v>
      </c>
      <c r="B47" s="18"/>
      <c r="C47" s="44" t="s">
        <v>86</v>
      </c>
      <c r="D47" s="14"/>
      <c r="E47" s="41">
        <v>100000</v>
      </c>
      <c r="F47" s="40">
        <v>0</v>
      </c>
      <c r="G47" s="10">
        <f t="shared" si="0"/>
        <v>4600500</v>
      </c>
      <c r="H47" s="14" t="s">
        <v>77</v>
      </c>
    </row>
    <row r="48" spans="1:8" s="13" customFormat="1" x14ac:dyDescent="0.35">
      <c r="A48" s="12">
        <v>44</v>
      </c>
      <c r="B48" s="18"/>
      <c r="C48" s="44" t="s">
        <v>87</v>
      </c>
      <c r="D48" s="14"/>
      <c r="E48" s="41">
        <v>100000</v>
      </c>
      <c r="F48" s="40">
        <v>0</v>
      </c>
      <c r="G48" s="10">
        <f t="shared" si="0"/>
        <v>4700500</v>
      </c>
      <c r="H48" s="14" t="s">
        <v>77</v>
      </c>
    </row>
    <row r="49" spans="1:9" s="13" customFormat="1" ht="16.5" customHeight="1" x14ac:dyDescent="0.35">
      <c r="A49" s="12">
        <v>45</v>
      </c>
      <c r="B49" s="18"/>
      <c r="C49" s="44" t="s">
        <v>88</v>
      </c>
      <c r="D49" s="14"/>
      <c r="E49" s="41">
        <v>100000</v>
      </c>
      <c r="F49" s="40">
        <v>0</v>
      </c>
      <c r="G49" s="10">
        <f t="shared" si="0"/>
        <v>4800500</v>
      </c>
      <c r="H49" s="14" t="s">
        <v>77</v>
      </c>
    </row>
    <row r="50" spans="1:9" s="13" customFormat="1" x14ac:dyDescent="0.35">
      <c r="A50" s="12">
        <v>46</v>
      </c>
      <c r="B50" s="18"/>
      <c r="C50" s="44" t="s">
        <v>89</v>
      </c>
      <c r="D50" s="14"/>
      <c r="E50" s="41">
        <v>100000</v>
      </c>
      <c r="F50" s="40">
        <v>0</v>
      </c>
      <c r="G50" s="10">
        <f t="shared" si="0"/>
        <v>4900500</v>
      </c>
      <c r="H50" s="14" t="s">
        <v>77</v>
      </c>
    </row>
    <row r="51" spans="1:9" s="13" customFormat="1" x14ac:dyDescent="0.35">
      <c r="A51" s="12">
        <v>47</v>
      </c>
      <c r="B51" s="18"/>
      <c r="C51" s="44" t="s">
        <v>90</v>
      </c>
      <c r="D51" s="14"/>
      <c r="E51" s="41">
        <v>100000</v>
      </c>
      <c r="F51" s="40">
        <v>0</v>
      </c>
      <c r="G51" s="10">
        <f t="shared" si="0"/>
        <v>5000500</v>
      </c>
      <c r="H51" s="14" t="s">
        <v>77</v>
      </c>
    </row>
    <row r="52" spans="1:9" s="13" customFormat="1" x14ac:dyDescent="0.35">
      <c r="A52" s="12">
        <v>48</v>
      </c>
      <c r="B52" s="18"/>
      <c r="C52" s="44" t="s">
        <v>91</v>
      </c>
      <c r="D52" s="14"/>
      <c r="E52" s="41">
        <v>100000</v>
      </c>
      <c r="F52" s="40">
        <v>0</v>
      </c>
      <c r="G52" s="10">
        <f t="shared" si="0"/>
        <v>5100500</v>
      </c>
      <c r="H52" s="14" t="s">
        <v>77</v>
      </c>
    </row>
    <row r="53" spans="1:9" s="13" customFormat="1" x14ac:dyDescent="0.35">
      <c r="A53" s="12">
        <v>49</v>
      </c>
      <c r="B53" s="18"/>
      <c r="C53" s="1" t="s">
        <v>92</v>
      </c>
      <c r="D53" s="14"/>
      <c r="E53" s="41">
        <v>100000</v>
      </c>
      <c r="F53" s="40">
        <v>0</v>
      </c>
      <c r="G53" s="10">
        <f t="shared" si="0"/>
        <v>5200500</v>
      </c>
      <c r="H53" s="14" t="s">
        <v>77</v>
      </c>
    </row>
    <row r="54" spans="1:9" s="13" customFormat="1" x14ac:dyDescent="0.35">
      <c r="A54" s="12">
        <v>50</v>
      </c>
      <c r="B54" s="18"/>
      <c r="C54" s="1" t="s">
        <v>93</v>
      </c>
      <c r="D54" s="14"/>
      <c r="E54" s="43">
        <v>20000</v>
      </c>
      <c r="F54" s="40">
        <v>0</v>
      </c>
      <c r="G54" s="10">
        <f t="shared" si="0"/>
        <v>5220500</v>
      </c>
      <c r="H54" s="14" t="s">
        <v>41</v>
      </c>
    </row>
    <row r="55" spans="1:9" s="13" customFormat="1" x14ac:dyDescent="0.35">
      <c r="A55" s="12">
        <v>51</v>
      </c>
      <c r="B55" s="18"/>
      <c r="C55" s="1" t="s">
        <v>94</v>
      </c>
      <c r="D55" s="14"/>
      <c r="E55" s="41">
        <v>100000</v>
      </c>
      <c r="F55" s="40">
        <v>0</v>
      </c>
      <c r="G55" s="10">
        <f t="shared" si="0"/>
        <v>5320500</v>
      </c>
      <c r="H55" s="14" t="s">
        <v>77</v>
      </c>
    </row>
    <row r="56" spans="1:9" s="13" customFormat="1" x14ac:dyDescent="0.35">
      <c r="A56" s="12">
        <v>52</v>
      </c>
      <c r="B56" s="18"/>
      <c r="C56" s="1" t="s">
        <v>95</v>
      </c>
      <c r="D56" s="14"/>
      <c r="E56" s="43">
        <v>20000</v>
      </c>
      <c r="F56" s="40">
        <v>0</v>
      </c>
      <c r="G56" s="10">
        <f t="shared" si="0"/>
        <v>5340500</v>
      </c>
      <c r="H56" s="14" t="s">
        <v>41</v>
      </c>
    </row>
    <row r="57" spans="1:9" s="13" customFormat="1" x14ac:dyDescent="0.35">
      <c r="A57" s="12">
        <v>53</v>
      </c>
      <c r="B57" s="26">
        <v>46050</v>
      </c>
      <c r="C57" s="28" t="s">
        <v>38</v>
      </c>
      <c r="D57" s="14"/>
      <c r="E57" s="40">
        <v>0</v>
      </c>
      <c r="F57" s="40">
        <v>500000</v>
      </c>
      <c r="G57" s="10">
        <f t="shared" si="0"/>
        <v>4840500</v>
      </c>
      <c r="H57" s="14"/>
    </row>
    <row r="58" spans="1:9" x14ac:dyDescent="0.35">
      <c r="A58" s="56" t="s">
        <v>5</v>
      </c>
      <c r="B58" s="57"/>
      <c r="C58" s="58"/>
      <c r="D58" s="3"/>
      <c r="E58" s="4">
        <f>SUM(E6:E57)</f>
        <v>4400000</v>
      </c>
      <c r="F58" s="4">
        <f>SUM(F6:F57)</f>
        <v>2977500</v>
      </c>
      <c r="G58" s="4">
        <f>E58-F58</f>
        <v>1422500</v>
      </c>
      <c r="H58" s="1"/>
    </row>
    <row r="59" spans="1:9" x14ac:dyDescent="0.35">
      <c r="A59" s="56" t="s">
        <v>6</v>
      </c>
      <c r="B59" s="57"/>
      <c r="C59" s="58"/>
      <c r="D59" s="3"/>
      <c r="E59" s="4">
        <f>E5+E58</f>
        <v>8100000</v>
      </c>
      <c r="F59" s="4">
        <f>F5+F58</f>
        <v>3259500</v>
      </c>
      <c r="G59" s="4">
        <f t="shared" ref="G59:G60" si="1">E59-F59</f>
        <v>4840500</v>
      </c>
      <c r="H59" s="1"/>
    </row>
    <row r="60" spans="1:9" x14ac:dyDescent="0.35">
      <c r="A60" s="56" t="s">
        <v>7</v>
      </c>
      <c r="B60" s="57"/>
      <c r="C60" s="58"/>
      <c r="D60" s="3"/>
      <c r="E60" s="4">
        <f t="shared" ref="E60:F60" si="2">E59</f>
        <v>8100000</v>
      </c>
      <c r="F60" s="4">
        <f t="shared" si="2"/>
        <v>3259500</v>
      </c>
      <c r="G60" s="4">
        <f t="shared" si="1"/>
        <v>4840500</v>
      </c>
      <c r="H60" s="1"/>
      <c r="I60" s="5"/>
    </row>
    <row r="62" spans="1:9" x14ac:dyDescent="0.35">
      <c r="F62" s="59" t="s">
        <v>15</v>
      </c>
      <c r="G62" s="59"/>
      <c r="H62" s="59"/>
    </row>
    <row r="63" spans="1:9" x14ac:dyDescent="0.35">
      <c r="F63" s="59" t="s">
        <v>12</v>
      </c>
      <c r="G63" s="59"/>
      <c r="H63" s="59"/>
    </row>
  </sheetData>
  <mergeCells count="8">
    <mergeCell ref="F63:H63"/>
    <mergeCell ref="A58:C58"/>
    <mergeCell ref="A59:C59"/>
    <mergeCell ref="A60:C60"/>
    <mergeCell ref="A1:H1"/>
    <mergeCell ref="A2:H2"/>
    <mergeCell ref="A3:H3"/>
    <mergeCell ref="F62:H62"/>
  </mergeCells>
  <phoneticPr fontId="4" type="noConversion"/>
  <pageMargins left="0.75" right="0.75" top="1" bottom="1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26"/>
  <sheetViews>
    <sheetView topLeftCell="A3" zoomScale="93" zoomScaleNormal="93" workbookViewId="0">
      <selection activeCell="G23" sqref="G23"/>
    </sheetView>
  </sheetViews>
  <sheetFormatPr defaultRowHeight="14.5" x14ac:dyDescent="0.35"/>
  <cols>
    <col min="1" max="1" width="5" customWidth="1"/>
    <col min="2" max="2" width="13.54296875" customWidth="1"/>
    <col min="3" max="3" width="47.54296875" customWidth="1"/>
    <col min="4" max="4" width="7" customWidth="1"/>
    <col min="5" max="7" width="16.54296875" customWidth="1"/>
    <col min="8" max="8" width="24.54296875" bestFit="1" customWidth="1"/>
    <col min="9" max="9" width="23.81640625" customWidth="1"/>
    <col min="10" max="10" width="20.81640625" customWidth="1"/>
    <col min="11" max="11" width="12.26953125" bestFit="1" customWidth="1"/>
  </cols>
  <sheetData>
    <row r="1" spans="1:10" ht="15.5" x14ac:dyDescent="0.35">
      <c r="A1" s="60" t="s">
        <v>11</v>
      </c>
      <c r="B1" s="60"/>
      <c r="C1" s="60"/>
      <c r="D1" s="60"/>
      <c r="E1" s="60"/>
      <c r="F1" s="60"/>
      <c r="G1" s="60"/>
      <c r="H1" s="60"/>
    </row>
    <row r="2" spans="1:10" ht="15.5" x14ac:dyDescent="0.35">
      <c r="A2" s="60" t="str">
        <f>Januari!A2</f>
        <v>BUKU KAS UMUM</v>
      </c>
      <c r="B2" s="60"/>
      <c r="C2" s="60"/>
      <c r="D2" s="60"/>
      <c r="E2" s="60"/>
      <c r="F2" s="60"/>
      <c r="G2" s="60"/>
      <c r="H2" s="60"/>
    </row>
    <row r="3" spans="1:10" ht="15.5" x14ac:dyDescent="0.35">
      <c r="A3" s="60" t="s">
        <v>17</v>
      </c>
      <c r="B3" s="60"/>
      <c r="C3" s="60"/>
      <c r="D3" s="60"/>
      <c r="E3" s="60"/>
      <c r="F3" s="60"/>
      <c r="G3" s="60"/>
      <c r="H3" s="60"/>
    </row>
    <row r="4" spans="1:10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10" s="11" customFormat="1" x14ac:dyDescent="0.35">
      <c r="A5" s="7">
        <v>1</v>
      </c>
      <c r="B5" s="20">
        <v>46054</v>
      </c>
      <c r="C5" s="21" t="s">
        <v>13</v>
      </c>
      <c r="D5" s="22"/>
      <c r="E5" s="46">
        <f>Januari!E60</f>
        <v>8100000</v>
      </c>
      <c r="F5" s="46">
        <f>Januari!F60</f>
        <v>3259500</v>
      </c>
      <c r="G5" s="46">
        <f>Januari!G60</f>
        <v>4840500</v>
      </c>
      <c r="H5" s="24"/>
      <c r="I5" s="34" t="e">
        <f>#REF!</f>
        <v>#REF!</v>
      </c>
      <c r="J5" s="17" t="e">
        <f>I5-8008000</f>
        <v>#REF!</v>
      </c>
    </row>
    <row r="6" spans="1:10" s="13" customFormat="1" ht="18" customHeight="1" x14ac:dyDescent="0.35">
      <c r="A6" s="12">
        <v>2</v>
      </c>
      <c r="B6" s="45">
        <v>46055</v>
      </c>
      <c r="C6" s="8" t="s">
        <v>105</v>
      </c>
      <c r="D6" s="9"/>
      <c r="E6" s="47">
        <v>0</v>
      </c>
      <c r="F6" s="47">
        <v>36000</v>
      </c>
      <c r="G6" s="47">
        <f>G5+E6-F6</f>
        <v>4804500</v>
      </c>
      <c r="H6" s="9" t="s">
        <v>96</v>
      </c>
      <c r="I6" s="35">
        <f>G23</f>
        <v>3124000</v>
      </c>
    </row>
    <row r="7" spans="1:10" s="13" customFormat="1" x14ac:dyDescent="0.35">
      <c r="A7" s="12">
        <v>3</v>
      </c>
      <c r="B7" s="45">
        <v>46056</v>
      </c>
      <c r="C7" s="8" t="s">
        <v>98</v>
      </c>
      <c r="D7" s="14"/>
      <c r="E7" s="43">
        <v>120000</v>
      </c>
      <c r="F7" s="43">
        <v>0</v>
      </c>
      <c r="G7" s="47">
        <f t="shared" ref="G7:G20" si="0">G6+E7-F7</f>
        <v>4924500</v>
      </c>
      <c r="H7" s="14" t="s">
        <v>100</v>
      </c>
      <c r="I7" s="36">
        <f>F23</f>
        <v>5926000</v>
      </c>
      <c r="J7" s="16">
        <f>I7+I6</f>
        <v>9050000</v>
      </c>
    </row>
    <row r="8" spans="1:10" s="13" customFormat="1" x14ac:dyDescent="0.35">
      <c r="A8" s="12">
        <v>4</v>
      </c>
      <c r="B8" s="45">
        <v>46056</v>
      </c>
      <c r="C8" s="8" t="s">
        <v>99</v>
      </c>
      <c r="D8" s="14"/>
      <c r="E8" s="43">
        <v>120000</v>
      </c>
      <c r="F8" s="43">
        <v>0</v>
      </c>
      <c r="G8" s="47">
        <f t="shared" si="0"/>
        <v>5044500</v>
      </c>
      <c r="H8" s="14" t="s">
        <v>101</v>
      </c>
      <c r="I8" s="16" t="e">
        <f>SUM(I5:I7)</f>
        <v>#REF!</v>
      </c>
    </row>
    <row r="9" spans="1:10" s="13" customFormat="1" x14ac:dyDescent="0.35">
      <c r="A9" s="12">
        <v>5</v>
      </c>
      <c r="B9" s="45">
        <v>46056</v>
      </c>
      <c r="C9" s="8" t="s">
        <v>102</v>
      </c>
      <c r="D9" s="14"/>
      <c r="E9" s="43">
        <v>100000</v>
      </c>
      <c r="F9" s="43">
        <v>0</v>
      </c>
      <c r="G9" s="47">
        <f t="shared" si="0"/>
        <v>5144500</v>
      </c>
      <c r="H9" s="14" t="s">
        <v>50</v>
      </c>
      <c r="I9" s="37">
        <f>'[2]simpanan anggota'!$F$31</f>
        <v>16960000</v>
      </c>
    </row>
    <row r="10" spans="1:10" s="13" customFormat="1" x14ac:dyDescent="0.35">
      <c r="A10" s="12">
        <v>6</v>
      </c>
      <c r="B10" s="45">
        <v>46056</v>
      </c>
      <c r="C10" s="8" t="s">
        <v>103</v>
      </c>
      <c r="D10" s="14"/>
      <c r="E10" s="43">
        <v>140000</v>
      </c>
      <c r="F10" s="43">
        <v>0</v>
      </c>
      <c r="G10" s="47">
        <f t="shared" si="0"/>
        <v>5284500</v>
      </c>
      <c r="H10" s="14" t="s">
        <v>51</v>
      </c>
      <c r="I10" s="16" t="e">
        <f>I8-I9</f>
        <v>#REF!</v>
      </c>
    </row>
    <row r="11" spans="1:10" s="13" customFormat="1" x14ac:dyDescent="0.35">
      <c r="A11" s="12">
        <v>7</v>
      </c>
      <c r="B11" s="45">
        <v>46063</v>
      </c>
      <c r="C11" s="8" t="s">
        <v>104</v>
      </c>
      <c r="D11" s="14"/>
      <c r="E11" s="43">
        <v>0</v>
      </c>
      <c r="F11" s="43">
        <v>63000</v>
      </c>
      <c r="G11" s="47">
        <f t="shared" si="0"/>
        <v>5221500</v>
      </c>
      <c r="H11" s="9" t="s">
        <v>97</v>
      </c>
    </row>
    <row r="12" spans="1:10" s="13" customFormat="1" x14ac:dyDescent="0.35">
      <c r="A12" s="12">
        <v>8</v>
      </c>
      <c r="B12" s="45">
        <v>46064</v>
      </c>
      <c r="C12" s="8" t="s">
        <v>106</v>
      </c>
      <c r="D12" s="14"/>
      <c r="E12" s="43">
        <v>30000</v>
      </c>
      <c r="F12" s="43">
        <v>0</v>
      </c>
      <c r="G12" s="47">
        <f t="shared" si="0"/>
        <v>5251500</v>
      </c>
      <c r="H12" s="14" t="s">
        <v>108</v>
      </c>
    </row>
    <row r="13" spans="1:10" s="13" customFormat="1" x14ac:dyDescent="0.35">
      <c r="A13" s="12">
        <v>9</v>
      </c>
      <c r="B13" s="45">
        <v>46064</v>
      </c>
      <c r="C13" s="8" t="s">
        <v>107</v>
      </c>
      <c r="D13" s="14"/>
      <c r="E13" s="43">
        <v>20000</v>
      </c>
      <c r="F13" s="43">
        <v>0</v>
      </c>
      <c r="G13" s="47">
        <f t="shared" si="0"/>
        <v>5271500</v>
      </c>
      <c r="H13" s="14" t="s">
        <v>109</v>
      </c>
    </row>
    <row r="14" spans="1:10" s="13" customFormat="1" x14ac:dyDescent="0.35">
      <c r="A14" s="12">
        <v>10</v>
      </c>
      <c r="B14" s="45">
        <v>46064</v>
      </c>
      <c r="C14" s="8" t="s">
        <v>110</v>
      </c>
      <c r="D14" s="14"/>
      <c r="E14" s="43">
        <v>20000</v>
      </c>
      <c r="F14" s="43">
        <v>0</v>
      </c>
      <c r="G14" s="47">
        <f t="shared" si="0"/>
        <v>5291500</v>
      </c>
      <c r="H14" s="14" t="s">
        <v>109</v>
      </c>
    </row>
    <row r="15" spans="1:10" s="13" customFormat="1" x14ac:dyDescent="0.35">
      <c r="A15" s="12">
        <v>11</v>
      </c>
      <c r="B15" s="45">
        <v>46064</v>
      </c>
      <c r="C15" s="8" t="s">
        <v>111</v>
      </c>
      <c r="D15" s="14"/>
      <c r="E15" s="43">
        <v>50000</v>
      </c>
      <c r="F15" s="43">
        <v>0</v>
      </c>
      <c r="G15" s="47">
        <f t="shared" si="0"/>
        <v>5341500</v>
      </c>
      <c r="H15" s="14" t="s">
        <v>112</v>
      </c>
    </row>
    <row r="16" spans="1:10" s="13" customFormat="1" x14ac:dyDescent="0.35">
      <c r="A16" s="12">
        <v>12</v>
      </c>
      <c r="B16" s="45">
        <v>46064</v>
      </c>
      <c r="C16" s="48" t="s">
        <v>118</v>
      </c>
      <c r="D16" s="14"/>
      <c r="E16" s="43">
        <v>100000</v>
      </c>
      <c r="F16" s="43">
        <v>0</v>
      </c>
      <c r="G16" s="47">
        <f t="shared" si="0"/>
        <v>5441500</v>
      </c>
      <c r="H16" s="14" t="s">
        <v>119</v>
      </c>
    </row>
    <row r="17" spans="1:9" s="13" customFormat="1" x14ac:dyDescent="0.35">
      <c r="A17" s="12">
        <v>13</v>
      </c>
      <c r="B17" s="45">
        <v>46066</v>
      </c>
      <c r="C17" s="14" t="s">
        <v>113</v>
      </c>
      <c r="D17" s="14"/>
      <c r="E17" s="43">
        <v>200000</v>
      </c>
      <c r="F17" s="43">
        <v>0</v>
      </c>
      <c r="G17" s="47">
        <f t="shared" si="0"/>
        <v>5641500</v>
      </c>
      <c r="H17" s="14" t="s">
        <v>114</v>
      </c>
    </row>
    <row r="18" spans="1:9" s="13" customFormat="1" x14ac:dyDescent="0.35">
      <c r="A18" s="12">
        <v>14</v>
      </c>
      <c r="B18" s="45">
        <v>46066</v>
      </c>
      <c r="C18" s="8" t="s">
        <v>115</v>
      </c>
      <c r="D18" s="14"/>
      <c r="E18" s="43">
        <v>30000</v>
      </c>
      <c r="F18" s="43">
        <v>0</v>
      </c>
      <c r="G18" s="47">
        <f t="shared" si="0"/>
        <v>5671500</v>
      </c>
      <c r="H18" s="14" t="s">
        <v>109</v>
      </c>
    </row>
    <row r="19" spans="1:9" s="13" customFormat="1" x14ac:dyDescent="0.35">
      <c r="A19" s="12">
        <v>15</v>
      </c>
      <c r="B19" s="45">
        <v>46066</v>
      </c>
      <c r="C19" s="8" t="s">
        <v>116</v>
      </c>
      <c r="D19" s="14"/>
      <c r="E19" s="43">
        <v>20000</v>
      </c>
      <c r="F19" s="43">
        <v>0</v>
      </c>
      <c r="G19" s="47">
        <f t="shared" si="0"/>
        <v>5691500</v>
      </c>
      <c r="H19" s="14" t="s">
        <v>109</v>
      </c>
    </row>
    <row r="20" spans="1:9" s="13" customFormat="1" x14ac:dyDescent="0.35">
      <c r="A20" s="12">
        <v>16</v>
      </c>
      <c r="B20" s="45">
        <v>46071</v>
      </c>
      <c r="C20" s="14" t="s">
        <v>136</v>
      </c>
      <c r="D20" s="14"/>
      <c r="E20" s="43">
        <v>0</v>
      </c>
      <c r="F20" s="6">
        <v>2567500</v>
      </c>
      <c r="G20" s="47">
        <f t="shared" si="0"/>
        <v>3124000</v>
      </c>
      <c r="H20" s="14"/>
    </row>
    <row r="21" spans="1:9" x14ac:dyDescent="0.35">
      <c r="A21" s="56" t="s">
        <v>5</v>
      </c>
      <c r="B21" s="57"/>
      <c r="C21" s="58"/>
      <c r="D21" s="3"/>
      <c r="E21" s="4">
        <f>SUM(E6:E20)</f>
        <v>950000</v>
      </c>
      <c r="F21" s="4">
        <f>SUM(F6:F20)</f>
        <v>2666500</v>
      </c>
      <c r="G21" s="4">
        <f>E21-F21</f>
        <v>-1716500</v>
      </c>
      <c r="H21" s="1"/>
    </row>
    <row r="22" spans="1:9" x14ac:dyDescent="0.35">
      <c r="A22" s="56" t="s">
        <v>6</v>
      </c>
      <c r="B22" s="57"/>
      <c r="C22" s="58"/>
      <c r="D22" s="3"/>
      <c r="E22" s="4">
        <f>E5+E21</f>
        <v>9050000</v>
      </c>
      <c r="F22" s="4">
        <f>F5+F21</f>
        <v>5926000</v>
      </c>
      <c r="G22" s="4">
        <f>G5+G21</f>
        <v>3124000</v>
      </c>
      <c r="H22" s="1"/>
    </row>
    <row r="23" spans="1:9" x14ac:dyDescent="0.35">
      <c r="A23" s="56" t="s">
        <v>7</v>
      </c>
      <c r="B23" s="57"/>
      <c r="C23" s="58"/>
      <c r="D23" s="3"/>
      <c r="E23" s="4">
        <f>E22</f>
        <v>9050000</v>
      </c>
      <c r="F23" s="4">
        <f>F22</f>
        <v>5926000</v>
      </c>
      <c r="G23" s="4">
        <f t="shared" ref="G23" si="1">G22</f>
        <v>3124000</v>
      </c>
      <c r="H23" s="1"/>
      <c r="I23" s="5"/>
    </row>
    <row r="25" spans="1:9" x14ac:dyDescent="0.35">
      <c r="F25" s="59" t="s">
        <v>18</v>
      </c>
      <c r="G25" s="59"/>
      <c r="H25" s="59"/>
    </row>
    <row r="26" spans="1:9" x14ac:dyDescent="0.35">
      <c r="F26" s="59" t="s">
        <v>12</v>
      </c>
      <c r="G26" s="59"/>
      <c r="H26" s="59"/>
    </row>
  </sheetData>
  <mergeCells count="8">
    <mergeCell ref="A23:C23"/>
    <mergeCell ref="F25:H25"/>
    <mergeCell ref="F26:H26"/>
    <mergeCell ref="A1:H1"/>
    <mergeCell ref="A2:H2"/>
    <mergeCell ref="A3:H3"/>
    <mergeCell ref="A21:C21"/>
    <mergeCell ref="A22:C22"/>
  </mergeCells>
  <pageMargins left="0.75" right="0.75" top="1" bottom="1" header="0.5" footer="0.5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18"/>
  <sheetViews>
    <sheetView topLeftCell="B2" zoomScale="129" workbookViewId="0">
      <selection activeCell="E17" sqref="E17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6" width="17.453125" bestFit="1" customWidth="1"/>
    <col min="7" max="7" width="16.54296875" customWidth="1"/>
    <col min="8" max="8" width="14" customWidth="1"/>
    <col min="9" max="9" width="14.81640625" bestFit="1" customWidth="1"/>
    <col min="11" max="11" width="12.26953125" bestFit="1" customWidth="1"/>
  </cols>
  <sheetData>
    <row r="1" spans="1:9" ht="15.5" x14ac:dyDescent="0.35">
      <c r="A1" s="60" t="s">
        <v>11</v>
      </c>
      <c r="B1" s="60"/>
      <c r="C1" s="60"/>
      <c r="D1" s="60"/>
      <c r="E1" s="60"/>
      <c r="F1" s="60"/>
      <c r="G1" s="60"/>
      <c r="H1" s="60"/>
    </row>
    <row r="2" spans="1:9" ht="15.5" x14ac:dyDescent="0.35">
      <c r="A2" s="60" t="str">
        <f>Pebruari!A2</f>
        <v>BUKU KAS UMUM</v>
      </c>
      <c r="B2" s="60"/>
      <c r="C2" s="60"/>
      <c r="D2" s="60"/>
      <c r="E2" s="60"/>
      <c r="F2" s="60"/>
      <c r="G2" s="60"/>
      <c r="H2" s="60"/>
    </row>
    <row r="3" spans="1:9" ht="15.5" x14ac:dyDescent="0.35">
      <c r="A3" s="60" t="s">
        <v>16</v>
      </c>
      <c r="B3" s="60"/>
      <c r="C3" s="60"/>
      <c r="D3" s="60"/>
      <c r="E3" s="60"/>
      <c r="F3" s="60"/>
      <c r="G3" s="60"/>
      <c r="H3" s="60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46082</v>
      </c>
      <c r="C5" s="21" t="s">
        <v>13</v>
      </c>
      <c r="D5" s="22"/>
      <c r="E5" s="23">
        <f>Pebruari!E23</f>
        <v>9050000</v>
      </c>
      <c r="F5" s="23">
        <f>Pebruari!F23</f>
        <v>5926000</v>
      </c>
      <c r="G5" s="23">
        <f>Pebruari!G23</f>
        <v>3124000</v>
      </c>
      <c r="H5" s="24"/>
      <c r="I5" s="17">
        <f>G5*5%</f>
        <v>156200</v>
      </c>
    </row>
    <row r="6" spans="1:9" s="13" customFormat="1" x14ac:dyDescent="0.35">
      <c r="A6" s="12">
        <v>2</v>
      </c>
      <c r="B6" s="19">
        <v>46087</v>
      </c>
      <c r="C6" s="8" t="s">
        <v>120</v>
      </c>
      <c r="D6" s="9"/>
      <c r="E6" s="10">
        <v>100000</v>
      </c>
      <c r="F6" s="10">
        <v>0</v>
      </c>
      <c r="G6" s="10">
        <f>G5+E6-F6</f>
        <v>3224000</v>
      </c>
      <c r="H6" s="9" t="s">
        <v>121</v>
      </c>
    </row>
    <row r="7" spans="1:9" s="13" customFormat="1" x14ac:dyDescent="0.35">
      <c r="A7" s="12">
        <v>3</v>
      </c>
      <c r="B7" s="19">
        <v>46095</v>
      </c>
      <c r="C7" s="51" t="s">
        <v>125</v>
      </c>
      <c r="D7" s="51"/>
      <c r="E7" s="52">
        <v>276000</v>
      </c>
      <c r="F7" s="52">
        <v>0</v>
      </c>
      <c r="G7" s="10">
        <f t="shared" ref="G7:G12" si="0">G6+E7-F7</f>
        <v>3500000</v>
      </c>
      <c r="H7" s="14"/>
    </row>
    <row r="8" spans="1:9" s="13" customFormat="1" x14ac:dyDescent="0.35">
      <c r="A8" s="12">
        <v>4</v>
      </c>
      <c r="B8" s="19">
        <v>46095</v>
      </c>
      <c r="C8" s="14" t="s">
        <v>122</v>
      </c>
      <c r="D8" s="14"/>
      <c r="E8" s="6">
        <v>0</v>
      </c>
      <c r="F8" s="6">
        <v>3500000</v>
      </c>
      <c r="G8" s="10">
        <f t="shared" si="0"/>
        <v>0</v>
      </c>
      <c r="H8" s="14"/>
    </row>
    <row r="9" spans="1:9" s="13" customFormat="1" x14ac:dyDescent="0.35">
      <c r="A9" s="12">
        <v>5</v>
      </c>
      <c r="B9" s="19">
        <v>46108</v>
      </c>
      <c r="C9" s="14" t="s">
        <v>123</v>
      </c>
      <c r="D9" s="14"/>
      <c r="E9" s="6">
        <v>3600000</v>
      </c>
      <c r="F9" s="6">
        <v>0</v>
      </c>
      <c r="G9" s="10">
        <f t="shared" si="0"/>
        <v>3600000</v>
      </c>
      <c r="H9" s="14" t="s">
        <v>124</v>
      </c>
      <c r="I9" s="54">
        <v>100000</v>
      </c>
    </row>
    <row r="10" spans="1:9" s="13" customFormat="1" x14ac:dyDescent="0.35">
      <c r="A10" s="12">
        <v>6</v>
      </c>
      <c r="B10" s="19">
        <v>46108</v>
      </c>
      <c r="C10" s="51" t="s">
        <v>126</v>
      </c>
      <c r="D10" s="51"/>
      <c r="E10" s="52">
        <v>0</v>
      </c>
      <c r="F10" s="52">
        <v>276000</v>
      </c>
      <c r="G10" s="10">
        <f t="shared" si="0"/>
        <v>3324000</v>
      </c>
      <c r="H10" s="14"/>
    </row>
    <row r="11" spans="1:9" s="13" customFormat="1" x14ac:dyDescent="0.35">
      <c r="A11" s="12">
        <v>7</v>
      </c>
      <c r="B11" s="19">
        <v>46095</v>
      </c>
      <c r="C11" s="49" t="s">
        <v>125</v>
      </c>
      <c r="D11" s="49"/>
      <c r="E11" s="50">
        <v>176000</v>
      </c>
      <c r="F11" s="50">
        <v>0</v>
      </c>
      <c r="G11" s="10">
        <f t="shared" si="0"/>
        <v>3500000</v>
      </c>
      <c r="H11" s="14"/>
    </row>
    <row r="12" spans="1:9" s="13" customFormat="1" x14ac:dyDescent="0.35">
      <c r="A12" s="12">
        <v>8</v>
      </c>
      <c r="B12" s="19">
        <v>46111</v>
      </c>
      <c r="C12" s="14" t="s">
        <v>122</v>
      </c>
      <c r="D12" s="14"/>
      <c r="E12" s="6">
        <v>0</v>
      </c>
      <c r="F12" s="6">
        <v>3500000</v>
      </c>
      <c r="G12" s="10">
        <f t="shared" si="0"/>
        <v>0</v>
      </c>
      <c r="H12" s="14"/>
    </row>
    <row r="13" spans="1:9" x14ac:dyDescent="0.35">
      <c r="A13" s="56" t="s">
        <v>5</v>
      </c>
      <c r="B13" s="57"/>
      <c r="C13" s="58"/>
      <c r="D13" s="3"/>
      <c r="E13" s="4">
        <f>SUM(E6:E12)</f>
        <v>4152000</v>
      </c>
      <c r="F13" s="4">
        <f>SUM(F6:F12)</f>
        <v>7276000</v>
      </c>
      <c r="G13" s="4">
        <f>F13-E13</f>
        <v>3124000</v>
      </c>
      <c r="H13" s="1"/>
    </row>
    <row r="14" spans="1:9" x14ac:dyDescent="0.35">
      <c r="A14" s="56" t="s">
        <v>6</v>
      </c>
      <c r="B14" s="57"/>
      <c r="C14" s="58"/>
      <c r="D14" s="3"/>
      <c r="E14" s="4">
        <f>E5+E13</f>
        <v>13202000</v>
      </c>
      <c r="F14" s="4">
        <f>F5+F13</f>
        <v>13202000</v>
      </c>
      <c r="G14" s="4">
        <f>G5+G13</f>
        <v>6248000</v>
      </c>
      <c r="H14" s="1"/>
    </row>
    <row r="15" spans="1:9" x14ac:dyDescent="0.35">
      <c r="A15" s="56" t="s">
        <v>7</v>
      </c>
      <c r="B15" s="57"/>
      <c r="C15" s="58"/>
      <c r="D15" s="3"/>
      <c r="E15" s="4">
        <f t="shared" ref="E15:F15" si="1">E14</f>
        <v>13202000</v>
      </c>
      <c r="F15" s="4">
        <f t="shared" si="1"/>
        <v>13202000</v>
      </c>
      <c r="G15" s="4">
        <f>E15-F15</f>
        <v>0</v>
      </c>
      <c r="H15" s="1"/>
      <c r="I15" s="5">
        <f>2477500-1782500</f>
        <v>695000</v>
      </c>
    </row>
    <row r="17" spans="6:8" x14ac:dyDescent="0.35">
      <c r="F17" s="59" t="s">
        <v>19</v>
      </c>
      <c r="G17" s="59"/>
      <c r="H17" s="59"/>
    </row>
    <row r="18" spans="6:8" x14ac:dyDescent="0.35">
      <c r="F18" s="59" t="s">
        <v>12</v>
      </c>
      <c r="G18" s="59"/>
      <c r="H18" s="59"/>
    </row>
  </sheetData>
  <mergeCells count="8">
    <mergeCell ref="A15:C15"/>
    <mergeCell ref="F17:H17"/>
    <mergeCell ref="F18:H18"/>
    <mergeCell ref="A1:H1"/>
    <mergeCell ref="A2:H2"/>
    <mergeCell ref="A3:H3"/>
    <mergeCell ref="A13:C13"/>
    <mergeCell ref="A14:C14"/>
  </mergeCells>
  <pageMargins left="0.75" right="0.75" top="1" bottom="1" header="0.5" footer="0.5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I20"/>
  <sheetViews>
    <sheetView topLeftCell="B1" zoomScale="129" workbookViewId="0">
      <selection activeCell="A15" sqref="A15:XFD44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6" width="18.1796875" bestFit="1" customWidth="1"/>
    <col min="7" max="7" width="16.54296875" customWidth="1"/>
    <col min="8" max="8" width="17.90625" customWidth="1"/>
    <col min="9" max="9" width="14.81640625" bestFit="1" customWidth="1"/>
    <col min="11" max="11" width="12.26953125" bestFit="1" customWidth="1"/>
  </cols>
  <sheetData>
    <row r="1" spans="1:9" ht="15.5" x14ac:dyDescent="0.35">
      <c r="A1" s="60" t="s">
        <v>11</v>
      </c>
      <c r="B1" s="60"/>
      <c r="C1" s="60"/>
      <c r="D1" s="60"/>
      <c r="E1" s="60"/>
      <c r="F1" s="60"/>
      <c r="G1" s="60"/>
      <c r="H1" s="60"/>
    </row>
    <row r="2" spans="1:9" ht="15.5" x14ac:dyDescent="0.35">
      <c r="A2" s="60" t="str">
        <f>Maret!A2</f>
        <v>BUKU KAS UMUM</v>
      </c>
      <c r="B2" s="60"/>
      <c r="C2" s="60"/>
      <c r="D2" s="60"/>
      <c r="E2" s="60"/>
      <c r="F2" s="60"/>
      <c r="G2" s="60"/>
      <c r="H2" s="60"/>
    </row>
    <row r="3" spans="1:9" ht="15.5" x14ac:dyDescent="0.35">
      <c r="A3" s="60" t="s">
        <v>23</v>
      </c>
      <c r="B3" s="60"/>
      <c r="C3" s="60"/>
      <c r="D3" s="60"/>
      <c r="E3" s="60"/>
      <c r="F3" s="60"/>
      <c r="G3" s="60"/>
      <c r="H3" s="60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46113</v>
      </c>
      <c r="C5" s="21" t="str">
        <f>Maret!C5</f>
        <v>Saldo Bulan Lalu</v>
      </c>
      <c r="D5" s="22"/>
      <c r="E5" s="23">
        <f>Maret!E15</f>
        <v>13202000</v>
      </c>
      <c r="F5" s="23">
        <f>Maret!F15</f>
        <v>13202000</v>
      </c>
      <c r="G5" s="23">
        <f>Maret!G15</f>
        <v>0</v>
      </c>
      <c r="H5" s="24"/>
      <c r="I5" s="17">
        <f>G5*5%</f>
        <v>0</v>
      </c>
    </row>
    <row r="6" spans="1:9" s="13" customFormat="1" x14ac:dyDescent="0.35">
      <c r="A6" s="12">
        <v>2</v>
      </c>
      <c r="B6" s="19">
        <v>46116</v>
      </c>
      <c r="C6" s="14" t="s">
        <v>123</v>
      </c>
      <c r="D6" s="14"/>
      <c r="E6" s="6">
        <v>3580000</v>
      </c>
      <c r="F6" s="6">
        <v>0</v>
      </c>
      <c r="G6" s="10">
        <f>G5+E6-F6</f>
        <v>3580000</v>
      </c>
      <c r="H6" s="9" t="s">
        <v>127</v>
      </c>
    </row>
    <row r="7" spans="1:9" s="13" customFormat="1" x14ac:dyDescent="0.35">
      <c r="A7" s="12">
        <v>3</v>
      </c>
      <c r="B7" s="19">
        <v>46116</v>
      </c>
      <c r="C7" s="49" t="s">
        <v>126</v>
      </c>
      <c r="D7" s="49"/>
      <c r="E7" s="50">
        <v>0</v>
      </c>
      <c r="F7" s="50">
        <v>176000</v>
      </c>
      <c r="G7" s="10">
        <f t="shared" ref="G7:G14" si="0">G6+E7-F7</f>
        <v>3404000</v>
      </c>
      <c r="H7" s="14" t="s">
        <v>129</v>
      </c>
    </row>
    <row r="8" spans="1:9" s="13" customFormat="1" x14ac:dyDescent="0.35">
      <c r="A8" s="12">
        <v>4</v>
      </c>
      <c r="B8" s="19">
        <v>46122</v>
      </c>
      <c r="C8" s="8" t="s">
        <v>131</v>
      </c>
      <c r="D8" s="14"/>
      <c r="E8" s="6">
        <v>120000</v>
      </c>
      <c r="F8" s="6">
        <v>0</v>
      </c>
      <c r="G8" s="10">
        <f t="shared" si="0"/>
        <v>3524000</v>
      </c>
      <c r="H8" s="14" t="s">
        <v>132</v>
      </c>
    </row>
    <row r="9" spans="1:9" s="13" customFormat="1" x14ac:dyDescent="0.35">
      <c r="A9" s="12">
        <v>5</v>
      </c>
      <c r="B9" s="19">
        <v>46125</v>
      </c>
      <c r="C9" s="14" t="s">
        <v>122</v>
      </c>
      <c r="D9" s="14"/>
      <c r="E9" s="6">
        <v>0</v>
      </c>
      <c r="F9" s="6">
        <v>3000000</v>
      </c>
      <c r="G9" s="10">
        <f t="shared" ref="G9:G12" si="1">G8+E9-F9</f>
        <v>524000</v>
      </c>
      <c r="H9" s="14" t="s">
        <v>128</v>
      </c>
    </row>
    <row r="10" spans="1:9" s="13" customFormat="1" x14ac:dyDescent="0.35">
      <c r="A10" s="12">
        <v>6</v>
      </c>
      <c r="B10" s="19">
        <v>46132</v>
      </c>
      <c r="C10" s="14" t="s">
        <v>123</v>
      </c>
      <c r="D10" s="14"/>
      <c r="E10" s="6">
        <v>3080000</v>
      </c>
      <c r="F10" s="6">
        <v>0</v>
      </c>
      <c r="G10" s="10">
        <f t="shared" si="1"/>
        <v>3604000</v>
      </c>
      <c r="H10" s="9" t="s">
        <v>127</v>
      </c>
    </row>
    <row r="11" spans="1:9" s="13" customFormat="1" x14ac:dyDescent="0.35">
      <c r="A11" s="12">
        <v>7</v>
      </c>
      <c r="B11" s="19">
        <v>46132</v>
      </c>
      <c r="C11" s="49" t="s">
        <v>130</v>
      </c>
      <c r="D11" s="49"/>
      <c r="E11" s="50">
        <v>0</v>
      </c>
      <c r="F11" s="50">
        <v>80000</v>
      </c>
      <c r="G11" s="10">
        <f t="shared" si="1"/>
        <v>3524000</v>
      </c>
      <c r="H11" s="14"/>
    </row>
    <row r="12" spans="1:9" s="13" customFormat="1" x14ac:dyDescent="0.35">
      <c r="A12" s="12">
        <v>8</v>
      </c>
      <c r="B12" s="19">
        <v>46133</v>
      </c>
      <c r="C12" s="14" t="s">
        <v>122</v>
      </c>
      <c r="D12" s="14"/>
      <c r="E12" s="6">
        <v>0</v>
      </c>
      <c r="F12" s="6">
        <v>3000000</v>
      </c>
      <c r="G12" s="10">
        <f t="shared" si="1"/>
        <v>524000</v>
      </c>
      <c r="H12" s="14" t="s">
        <v>128</v>
      </c>
    </row>
    <row r="13" spans="1:9" s="13" customFormat="1" x14ac:dyDescent="0.35">
      <c r="A13" s="12">
        <v>9</v>
      </c>
      <c r="B13" s="19">
        <v>46140</v>
      </c>
      <c r="C13" s="14" t="s">
        <v>123</v>
      </c>
      <c r="D13" s="14"/>
      <c r="E13" s="6">
        <v>3060000</v>
      </c>
      <c r="F13" s="6">
        <v>0</v>
      </c>
      <c r="G13" s="10">
        <f t="shared" si="0"/>
        <v>3584000</v>
      </c>
      <c r="H13" s="14" t="s">
        <v>133</v>
      </c>
    </row>
    <row r="14" spans="1:9" s="13" customFormat="1" x14ac:dyDescent="0.35">
      <c r="A14" s="12">
        <v>10</v>
      </c>
      <c r="B14" s="19">
        <v>46140</v>
      </c>
      <c r="C14" s="49" t="s">
        <v>130</v>
      </c>
      <c r="D14" s="49"/>
      <c r="E14" s="50">
        <v>0</v>
      </c>
      <c r="F14" s="50">
        <v>60000</v>
      </c>
      <c r="G14" s="10">
        <f t="shared" si="0"/>
        <v>3524000</v>
      </c>
      <c r="H14" s="14"/>
    </row>
    <row r="15" spans="1:9" x14ac:dyDescent="0.35">
      <c r="A15" s="56" t="s">
        <v>5</v>
      </c>
      <c r="B15" s="57"/>
      <c r="C15" s="58"/>
      <c r="D15" s="3"/>
      <c r="E15" s="4">
        <f>SUM(E6:E14)</f>
        <v>9840000</v>
      </c>
      <c r="F15" s="4">
        <f>SUM(F6:F14)</f>
        <v>6316000</v>
      </c>
      <c r="G15" s="4">
        <f>E15-F15</f>
        <v>3524000</v>
      </c>
      <c r="H15" s="1"/>
    </row>
    <row r="16" spans="1:9" x14ac:dyDescent="0.35">
      <c r="A16" s="56" t="s">
        <v>6</v>
      </c>
      <c r="B16" s="57"/>
      <c r="C16" s="58"/>
      <c r="D16" s="3"/>
      <c r="E16" s="4">
        <f>E5+E15</f>
        <v>23042000</v>
      </c>
      <c r="F16" s="4">
        <f>F5+F15</f>
        <v>19518000</v>
      </c>
      <c r="G16" s="4">
        <f>G5+G15</f>
        <v>3524000</v>
      </c>
      <c r="H16" s="1"/>
    </row>
    <row r="17" spans="1:9" x14ac:dyDescent="0.35">
      <c r="A17" s="56" t="s">
        <v>7</v>
      </c>
      <c r="B17" s="57"/>
      <c r="C17" s="58"/>
      <c r="D17" s="3"/>
      <c r="E17" s="4">
        <f t="shared" ref="E17:G17" si="2">E16</f>
        <v>23042000</v>
      </c>
      <c r="F17" s="4">
        <f t="shared" si="2"/>
        <v>19518000</v>
      </c>
      <c r="G17" s="4">
        <f t="shared" si="2"/>
        <v>3524000</v>
      </c>
      <c r="H17" s="1"/>
      <c r="I17" s="5">
        <f>2477500-1782500</f>
        <v>695000</v>
      </c>
    </row>
    <row r="19" spans="1:9" x14ac:dyDescent="0.35">
      <c r="F19" s="59" t="s">
        <v>20</v>
      </c>
      <c r="G19" s="59"/>
      <c r="H19" s="59"/>
    </row>
    <row r="20" spans="1:9" x14ac:dyDescent="0.35">
      <c r="F20" s="59" t="s">
        <v>12</v>
      </c>
      <c r="G20" s="59"/>
      <c r="H20" s="59"/>
    </row>
  </sheetData>
  <mergeCells count="8">
    <mergeCell ref="A17:C17"/>
    <mergeCell ref="F19:H19"/>
    <mergeCell ref="F20:H20"/>
    <mergeCell ref="A1:H1"/>
    <mergeCell ref="A2:H2"/>
    <mergeCell ref="A3:H3"/>
    <mergeCell ref="A15:C15"/>
    <mergeCell ref="A16:C16"/>
  </mergeCells>
  <pageMargins left="0.75" right="0.75" top="1" bottom="1" header="0.5" footer="0.5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I24"/>
  <sheetViews>
    <sheetView topLeftCell="A4" zoomScale="129" workbookViewId="0">
      <selection activeCell="G20" sqref="G20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6" width="18.1796875" bestFit="1" customWidth="1"/>
    <col min="7" max="7" width="16.54296875" customWidth="1"/>
    <col min="8" max="8" width="15.54296875" bestFit="1" customWidth="1"/>
    <col min="9" max="9" width="14.81640625" bestFit="1" customWidth="1"/>
    <col min="11" max="11" width="12.26953125" bestFit="1" customWidth="1"/>
  </cols>
  <sheetData>
    <row r="1" spans="1:9" ht="15.5" x14ac:dyDescent="0.35">
      <c r="A1" s="60" t="s">
        <v>11</v>
      </c>
      <c r="B1" s="60"/>
      <c r="C1" s="60"/>
      <c r="D1" s="60"/>
      <c r="E1" s="60"/>
      <c r="F1" s="60"/>
      <c r="G1" s="60"/>
      <c r="H1" s="60"/>
    </row>
    <row r="2" spans="1:9" ht="15.5" x14ac:dyDescent="0.35">
      <c r="A2" s="60" t="str">
        <f>April!A2</f>
        <v>BUKU KAS UMUM</v>
      </c>
      <c r="B2" s="60"/>
      <c r="C2" s="60"/>
      <c r="D2" s="60"/>
      <c r="E2" s="60"/>
      <c r="F2" s="60"/>
      <c r="G2" s="60"/>
      <c r="H2" s="60"/>
    </row>
    <row r="3" spans="1:9" ht="15.5" x14ac:dyDescent="0.35">
      <c r="A3" s="60" t="s">
        <v>22</v>
      </c>
      <c r="B3" s="60"/>
      <c r="C3" s="60"/>
      <c r="D3" s="60"/>
      <c r="E3" s="60"/>
      <c r="F3" s="60"/>
      <c r="G3" s="60"/>
      <c r="H3" s="60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46143</v>
      </c>
      <c r="C5" s="21" t="s">
        <v>13</v>
      </c>
      <c r="D5" s="22"/>
      <c r="E5" s="23">
        <f>April!E17</f>
        <v>23042000</v>
      </c>
      <c r="F5" s="23">
        <f>April!F17</f>
        <v>19518000</v>
      </c>
      <c r="G5" s="23">
        <f>April!G17</f>
        <v>3524000</v>
      </c>
      <c r="H5" s="24"/>
      <c r="I5" s="17">
        <f>G5*5%</f>
        <v>176200</v>
      </c>
    </row>
    <row r="6" spans="1:9" s="13" customFormat="1" x14ac:dyDescent="0.35">
      <c r="A6" s="12">
        <v>2</v>
      </c>
      <c r="B6" s="19">
        <v>46144</v>
      </c>
      <c r="C6" s="14" t="s">
        <v>122</v>
      </c>
      <c r="D6" s="14"/>
      <c r="E6" s="6">
        <v>0</v>
      </c>
      <c r="F6" s="6">
        <v>3500000</v>
      </c>
      <c r="G6" s="10">
        <f t="shared" ref="G6" si="0">G5+E6-F6</f>
        <v>24000</v>
      </c>
      <c r="H6" s="14" t="s">
        <v>128</v>
      </c>
    </row>
    <row r="7" spans="1:9" s="13" customFormat="1" x14ac:dyDescent="0.35">
      <c r="A7" s="12">
        <v>3</v>
      </c>
      <c r="B7" s="19">
        <v>46150</v>
      </c>
      <c r="C7" s="14" t="s">
        <v>123</v>
      </c>
      <c r="D7" s="14"/>
      <c r="E7" s="6">
        <v>3575000</v>
      </c>
      <c r="F7" s="6">
        <v>0</v>
      </c>
      <c r="G7" s="10">
        <f t="shared" ref="G7:G18" si="1">G6+E7-F7</f>
        <v>3599000</v>
      </c>
      <c r="H7" s="14" t="s">
        <v>135</v>
      </c>
    </row>
    <row r="8" spans="1:9" s="13" customFormat="1" x14ac:dyDescent="0.35">
      <c r="A8" s="12">
        <v>4</v>
      </c>
      <c r="B8" s="19">
        <v>46150</v>
      </c>
      <c r="C8" s="49" t="s">
        <v>130</v>
      </c>
      <c r="D8" s="49"/>
      <c r="E8" s="50">
        <v>0</v>
      </c>
      <c r="F8" s="50">
        <v>75000</v>
      </c>
      <c r="G8" s="10">
        <f t="shared" si="1"/>
        <v>3524000</v>
      </c>
      <c r="H8" s="14"/>
      <c r="I8" s="13">
        <f>75000+80000+70000+60000</f>
        <v>285000</v>
      </c>
    </row>
    <row r="9" spans="1:9" s="13" customFormat="1" x14ac:dyDescent="0.35">
      <c r="A9" s="12">
        <v>5</v>
      </c>
      <c r="B9" s="19">
        <v>46151</v>
      </c>
      <c r="C9" s="14" t="s">
        <v>122</v>
      </c>
      <c r="D9" s="14"/>
      <c r="E9" s="6">
        <v>0</v>
      </c>
      <c r="F9" s="6">
        <v>3500000</v>
      </c>
      <c r="G9" s="10">
        <f t="shared" si="1"/>
        <v>24000</v>
      </c>
      <c r="H9" s="14"/>
    </row>
    <row r="10" spans="1:9" s="13" customFormat="1" x14ac:dyDescent="0.35">
      <c r="A10" s="12">
        <v>6</v>
      </c>
      <c r="B10" s="19">
        <v>46159</v>
      </c>
      <c r="C10" s="14" t="s">
        <v>123</v>
      </c>
      <c r="D10" s="14"/>
      <c r="E10" s="6">
        <v>3580000</v>
      </c>
      <c r="F10" s="6">
        <v>0</v>
      </c>
      <c r="G10" s="10">
        <f t="shared" si="1"/>
        <v>3604000</v>
      </c>
      <c r="H10" s="14"/>
    </row>
    <row r="11" spans="1:9" s="13" customFormat="1" x14ac:dyDescent="0.35">
      <c r="A11" s="12">
        <v>7</v>
      </c>
      <c r="B11" s="19">
        <v>46159</v>
      </c>
      <c r="C11" s="49" t="s">
        <v>130</v>
      </c>
      <c r="D11" s="49"/>
      <c r="E11" s="50">
        <v>0</v>
      </c>
      <c r="F11" s="50">
        <v>80000</v>
      </c>
      <c r="G11" s="10">
        <f t="shared" si="1"/>
        <v>3524000</v>
      </c>
      <c r="H11" s="14" t="s">
        <v>127</v>
      </c>
    </row>
    <row r="12" spans="1:9" s="13" customFormat="1" x14ac:dyDescent="0.35">
      <c r="A12" s="12">
        <v>8</v>
      </c>
      <c r="B12" s="19">
        <v>46160</v>
      </c>
      <c r="C12" s="14" t="s">
        <v>122</v>
      </c>
      <c r="D12" s="14"/>
      <c r="E12" s="6">
        <v>0</v>
      </c>
      <c r="F12" s="6">
        <v>3500000</v>
      </c>
      <c r="G12" s="10">
        <f t="shared" si="1"/>
        <v>24000</v>
      </c>
      <c r="H12" s="14" t="s">
        <v>128</v>
      </c>
    </row>
    <row r="13" spans="1:9" s="13" customFormat="1" x14ac:dyDescent="0.35">
      <c r="A13" s="12">
        <v>9</v>
      </c>
      <c r="B13" s="19">
        <v>46162</v>
      </c>
      <c r="C13" s="14" t="s">
        <v>123</v>
      </c>
      <c r="D13" s="14"/>
      <c r="E13" s="6">
        <v>3570000</v>
      </c>
      <c r="F13" s="6">
        <v>0</v>
      </c>
      <c r="G13" s="10">
        <f t="shared" si="1"/>
        <v>3594000</v>
      </c>
      <c r="H13" s="14"/>
    </row>
    <row r="14" spans="1:9" s="13" customFormat="1" x14ac:dyDescent="0.35">
      <c r="A14" s="12">
        <v>10</v>
      </c>
      <c r="B14" s="19">
        <v>46162</v>
      </c>
      <c r="C14" s="49" t="s">
        <v>130</v>
      </c>
      <c r="D14" s="49"/>
      <c r="E14" s="50">
        <v>0</v>
      </c>
      <c r="F14" s="50">
        <v>70000</v>
      </c>
      <c r="G14" s="10">
        <f t="shared" si="1"/>
        <v>3524000</v>
      </c>
      <c r="H14" s="14"/>
    </row>
    <row r="15" spans="1:9" s="13" customFormat="1" x14ac:dyDescent="0.35">
      <c r="A15" s="12">
        <v>11</v>
      </c>
      <c r="B15" s="19">
        <v>46163</v>
      </c>
      <c r="C15" s="14" t="s">
        <v>122</v>
      </c>
      <c r="D15" s="14"/>
      <c r="E15" s="6">
        <v>0</v>
      </c>
      <c r="F15" s="6">
        <v>3500000</v>
      </c>
      <c r="G15" s="10">
        <f t="shared" si="1"/>
        <v>24000</v>
      </c>
      <c r="H15" s="14"/>
    </row>
    <row r="16" spans="1:9" s="13" customFormat="1" x14ac:dyDescent="0.35">
      <c r="A16" s="12">
        <v>12</v>
      </c>
      <c r="B16" s="19">
        <v>46170</v>
      </c>
      <c r="C16" s="14" t="s">
        <v>123</v>
      </c>
      <c r="D16" s="14"/>
      <c r="E16" s="6">
        <v>3560000</v>
      </c>
      <c r="F16" s="6">
        <v>0</v>
      </c>
      <c r="G16" s="10">
        <f t="shared" si="1"/>
        <v>3584000</v>
      </c>
      <c r="H16" s="14"/>
    </row>
    <row r="17" spans="1:9" s="13" customFormat="1" x14ac:dyDescent="0.35">
      <c r="A17" s="12">
        <v>13</v>
      </c>
      <c r="B17" s="19">
        <v>46170</v>
      </c>
      <c r="C17" s="49" t="s">
        <v>130</v>
      </c>
      <c r="D17" s="14"/>
      <c r="E17" s="6">
        <v>0</v>
      </c>
      <c r="F17" s="6">
        <v>60000</v>
      </c>
      <c r="G17" s="10">
        <f t="shared" si="1"/>
        <v>3524000</v>
      </c>
      <c r="H17" s="14" t="s">
        <v>133</v>
      </c>
    </row>
    <row r="18" spans="1:9" s="13" customFormat="1" x14ac:dyDescent="0.35">
      <c r="A18" s="12">
        <v>14</v>
      </c>
      <c r="B18" s="19">
        <v>46171</v>
      </c>
      <c r="C18" s="14" t="s">
        <v>122</v>
      </c>
      <c r="D18" s="14"/>
      <c r="E18" s="6">
        <v>0</v>
      </c>
      <c r="F18" s="6">
        <v>3500000</v>
      </c>
      <c r="G18" s="10">
        <f t="shared" si="1"/>
        <v>24000</v>
      </c>
      <c r="H18" s="14"/>
    </row>
    <row r="19" spans="1:9" x14ac:dyDescent="0.35">
      <c r="A19" s="56" t="s">
        <v>5</v>
      </c>
      <c r="B19" s="57"/>
      <c r="C19" s="58"/>
      <c r="D19" s="3"/>
      <c r="E19" s="4">
        <f>SUM(E6:E18)</f>
        <v>14285000</v>
      </c>
      <c r="F19" s="4">
        <f>SUM(F6:F18)</f>
        <v>17785000</v>
      </c>
      <c r="G19" s="4">
        <f>E19-F19</f>
        <v>-3500000</v>
      </c>
      <c r="H19" s="1"/>
    </row>
    <row r="20" spans="1:9" x14ac:dyDescent="0.35">
      <c r="A20" s="56" t="s">
        <v>6</v>
      </c>
      <c r="B20" s="57"/>
      <c r="C20" s="58"/>
      <c r="D20" s="3"/>
      <c r="E20" s="4">
        <f>E5+E19</f>
        <v>37327000</v>
      </c>
      <c r="F20" s="4">
        <f>F5+F19</f>
        <v>37303000</v>
      </c>
      <c r="G20" s="4">
        <f>G5+G19</f>
        <v>24000</v>
      </c>
      <c r="H20" s="1"/>
    </row>
    <row r="21" spans="1:9" x14ac:dyDescent="0.35">
      <c r="A21" s="56" t="s">
        <v>7</v>
      </c>
      <c r="B21" s="57"/>
      <c r="C21" s="58"/>
      <c r="D21" s="3"/>
      <c r="E21" s="4">
        <f t="shared" ref="E21:G21" si="2">E20</f>
        <v>37327000</v>
      </c>
      <c r="F21" s="4">
        <f t="shared" si="2"/>
        <v>37303000</v>
      </c>
      <c r="G21" s="4">
        <f t="shared" si="2"/>
        <v>24000</v>
      </c>
      <c r="H21" s="1"/>
      <c r="I21" s="5">
        <f>2477500-1782500</f>
        <v>695000</v>
      </c>
    </row>
    <row r="23" spans="1:9" x14ac:dyDescent="0.35">
      <c r="F23" s="59" t="s">
        <v>21</v>
      </c>
      <c r="G23" s="59"/>
      <c r="H23" s="59"/>
    </row>
    <row r="24" spans="1:9" x14ac:dyDescent="0.35">
      <c r="F24" s="59" t="s">
        <v>12</v>
      </c>
      <c r="G24" s="59"/>
      <c r="H24" s="59"/>
    </row>
  </sheetData>
  <mergeCells count="8">
    <mergeCell ref="A21:C21"/>
    <mergeCell ref="F23:H23"/>
    <mergeCell ref="F24:H24"/>
    <mergeCell ref="A1:H1"/>
    <mergeCell ref="A2:H2"/>
    <mergeCell ref="A3:H3"/>
    <mergeCell ref="A19:C19"/>
    <mergeCell ref="A20:C20"/>
  </mergeCells>
  <pageMargins left="0.75" right="0.75" top="1" bottom="1" header="0.5" footer="0.5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I21"/>
  <sheetViews>
    <sheetView tabSelected="1" topLeftCell="C3" zoomScale="129" workbookViewId="0">
      <selection activeCell="H11" sqref="H11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6" width="18.1796875" bestFit="1" customWidth="1"/>
    <col min="7" max="7" width="16.54296875" customWidth="1"/>
    <col min="8" max="8" width="29.90625" customWidth="1"/>
    <col min="9" max="9" width="14.81640625" bestFit="1" customWidth="1"/>
    <col min="11" max="11" width="12.26953125" bestFit="1" customWidth="1"/>
  </cols>
  <sheetData>
    <row r="1" spans="1:9" ht="15.5" x14ac:dyDescent="0.35">
      <c r="A1" s="60" t="s">
        <v>11</v>
      </c>
      <c r="B1" s="60"/>
      <c r="C1" s="60"/>
      <c r="D1" s="60"/>
      <c r="E1" s="60"/>
      <c r="F1" s="60"/>
      <c r="G1" s="60"/>
      <c r="H1" s="60"/>
    </row>
    <row r="2" spans="1:9" ht="15.5" x14ac:dyDescent="0.35">
      <c r="A2" s="60" t="str">
        <f>Mei!A2</f>
        <v>BUKU KAS UMUM</v>
      </c>
      <c r="B2" s="60"/>
      <c r="C2" s="60"/>
      <c r="D2" s="60"/>
      <c r="E2" s="60"/>
      <c r="F2" s="60"/>
      <c r="G2" s="60"/>
      <c r="H2" s="60"/>
    </row>
    <row r="3" spans="1:9" ht="15.5" x14ac:dyDescent="0.35">
      <c r="A3" s="60" t="s">
        <v>140</v>
      </c>
      <c r="B3" s="60"/>
      <c r="C3" s="60"/>
      <c r="D3" s="60"/>
      <c r="E3" s="60"/>
      <c r="F3" s="60"/>
      <c r="G3" s="60"/>
      <c r="H3" s="60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46174</v>
      </c>
      <c r="C5" s="21" t="s">
        <v>13</v>
      </c>
      <c r="D5" s="22"/>
      <c r="E5" s="23">
        <f>Mei!E21</f>
        <v>37327000</v>
      </c>
      <c r="F5" s="23">
        <f>Mei!F21</f>
        <v>37303000</v>
      </c>
      <c r="G5" s="23">
        <f>Mei!G21</f>
        <v>24000</v>
      </c>
      <c r="H5" s="24"/>
      <c r="I5" s="17"/>
    </row>
    <row r="6" spans="1:9" s="13" customFormat="1" x14ac:dyDescent="0.35">
      <c r="A6" s="12">
        <v>2</v>
      </c>
      <c r="B6" s="53">
        <v>46179</v>
      </c>
      <c r="C6" s="14" t="s">
        <v>123</v>
      </c>
      <c r="D6" s="9"/>
      <c r="E6" s="10">
        <v>3625000</v>
      </c>
      <c r="F6" s="10">
        <v>0</v>
      </c>
      <c r="G6" s="10">
        <f>G5+E6-F6</f>
        <v>3649000</v>
      </c>
      <c r="H6" s="9" t="s">
        <v>144</v>
      </c>
    </row>
    <row r="7" spans="1:9" s="13" customFormat="1" x14ac:dyDescent="0.35">
      <c r="A7" s="12">
        <v>3</v>
      </c>
      <c r="B7" s="53">
        <v>46179</v>
      </c>
      <c r="C7" s="49" t="s">
        <v>130</v>
      </c>
      <c r="D7" s="14"/>
      <c r="E7" s="6">
        <v>0</v>
      </c>
      <c r="F7" s="6">
        <v>125000</v>
      </c>
      <c r="G7" s="10">
        <f t="shared" ref="G7:G15" si="0">G6+E7-F7</f>
        <v>3524000</v>
      </c>
      <c r="H7" s="14"/>
    </row>
    <row r="8" spans="1:9" s="13" customFormat="1" x14ac:dyDescent="0.35">
      <c r="A8" s="12">
        <v>4</v>
      </c>
      <c r="B8" s="53">
        <v>46180</v>
      </c>
      <c r="C8" s="14" t="s">
        <v>122</v>
      </c>
      <c r="D8" s="14"/>
      <c r="E8" s="6">
        <v>0</v>
      </c>
      <c r="F8" s="6">
        <v>3000000</v>
      </c>
      <c r="G8" s="10">
        <f t="shared" si="0"/>
        <v>524000</v>
      </c>
      <c r="H8" s="14"/>
    </row>
    <row r="9" spans="1:9" s="13" customFormat="1" x14ac:dyDescent="0.35">
      <c r="A9" s="12">
        <v>5</v>
      </c>
      <c r="B9" s="53">
        <v>46193</v>
      </c>
      <c r="C9" s="14" t="s">
        <v>123</v>
      </c>
      <c r="D9" s="14"/>
      <c r="E9" s="6">
        <v>3165000</v>
      </c>
      <c r="F9" s="6">
        <v>0</v>
      </c>
      <c r="G9" s="10">
        <f t="shared" si="0"/>
        <v>3689000</v>
      </c>
      <c r="H9" s="14" t="s">
        <v>139</v>
      </c>
    </row>
    <row r="10" spans="1:9" s="13" customFormat="1" x14ac:dyDescent="0.35">
      <c r="A10" s="12">
        <v>6</v>
      </c>
      <c r="B10" s="53">
        <v>46194</v>
      </c>
      <c r="C10" s="14" t="s">
        <v>145</v>
      </c>
      <c r="D10" s="14"/>
      <c r="E10" s="6">
        <v>0</v>
      </c>
      <c r="F10" s="6">
        <v>125000</v>
      </c>
      <c r="G10" s="10">
        <f t="shared" si="0"/>
        <v>3564000</v>
      </c>
      <c r="H10" s="14"/>
    </row>
    <row r="11" spans="1:9" s="13" customFormat="1" x14ac:dyDescent="0.35">
      <c r="A11" s="12">
        <v>7</v>
      </c>
      <c r="B11" s="53">
        <v>46194</v>
      </c>
      <c r="C11" s="14" t="s">
        <v>134</v>
      </c>
      <c r="D11" s="14"/>
      <c r="E11" s="6">
        <v>0</v>
      </c>
      <c r="F11" s="6">
        <v>530000</v>
      </c>
      <c r="G11" s="10">
        <f t="shared" si="0"/>
        <v>3034000</v>
      </c>
      <c r="H11" s="14" t="s">
        <v>141</v>
      </c>
    </row>
    <row r="12" spans="1:9" s="13" customFormat="1" x14ac:dyDescent="0.35">
      <c r="A12" s="12">
        <v>8</v>
      </c>
      <c r="B12" s="53">
        <v>46194</v>
      </c>
      <c r="C12" s="14" t="s">
        <v>138</v>
      </c>
      <c r="D12" s="14"/>
      <c r="E12" s="6">
        <v>0</v>
      </c>
      <c r="F12" s="6">
        <v>440000</v>
      </c>
      <c r="G12" s="10">
        <f t="shared" si="0"/>
        <v>2594000</v>
      </c>
      <c r="H12" s="14"/>
    </row>
    <row r="13" spans="1:9" s="13" customFormat="1" x14ac:dyDescent="0.35">
      <c r="A13" s="12">
        <v>9</v>
      </c>
      <c r="B13" s="53">
        <v>46194</v>
      </c>
      <c r="C13" s="14" t="s">
        <v>146</v>
      </c>
      <c r="D13" s="14"/>
      <c r="E13" s="6">
        <v>0</v>
      </c>
      <c r="F13" s="6">
        <v>170000</v>
      </c>
      <c r="G13" s="10">
        <f t="shared" si="0"/>
        <v>2424000</v>
      </c>
      <c r="H13" s="14"/>
    </row>
    <row r="14" spans="1:9" s="13" customFormat="1" x14ac:dyDescent="0.35">
      <c r="A14" s="12">
        <v>10</v>
      </c>
      <c r="B14" s="53">
        <v>46196</v>
      </c>
      <c r="C14" s="14" t="s">
        <v>142</v>
      </c>
      <c r="D14" s="14"/>
      <c r="E14" s="6">
        <v>6622000</v>
      </c>
      <c r="F14" s="6">
        <v>0</v>
      </c>
      <c r="G14" s="10">
        <f t="shared" si="0"/>
        <v>9046000</v>
      </c>
      <c r="H14" s="14" t="s">
        <v>143</v>
      </c>
    </row>
    <row r="15" spans="1:9" s="13" customFormat="1" x14ac:dyDescent="0.35">
      <c r="A15" s="12">
        <v>11</v>
      </c>
      <c r="B15" s="53">
        <v>46196</v>
      </c>
      <c r="C15" s="14" t="s">
        <v>147</v>
      </c>
      <c r="D15" s="14"/>
      <c r="E15" s="6">
        <v>0</v>
      </c>
      <c r="F15" s="6">
        <v>769250</v>
      </c>
      <c r="G15" s="10">
        <f>G14+E15-F15</f>
        <v>8276750</v>
      </c>
      <c r="H15" s="14"/>
    </row>
    <row r="16" spans="1:9" x14ac:dyDescent="0.35">
      <c r="A16" s="56" t="s">
        <v>5</v>
      </c>
      <c r="B16" s="57"/>
      <c r="C16" s="58"/>
      <c r="D16" s="3"/>
      <c r="E16" s="4">
        <f>SUM(E6:E15)</f>
        <v>13412000</v>
      </c>
      <c r="F16" s="4">
        <f>SUM(F6:F15)</f>
        <v>5159250</v>
      </c>
      <c r="G16" s="64">
        <f>E16-F16</f>
        <v>8252750</v>
      </c>
      <c r="H16" s="1"/>
      <c r="I16" s="65">
        <f>G18-'[3]Juni '!$I$9</f>
        <v>8134975</v>
      </c>
    </row>
    <row r="17" spans="1:9" x14ac:dyDescent="0.35">
      <c r="A17" s="56" t="s">
        <v>6</v>
      </c>
      <c r="B17" s="57"/>
      <c r="C17" s="58"/>
      <c r="D17" s="3"/>
      <c r="E17" s="4">
        <f>E5+E16</f>
        <v>50739000</v>
      </c>
      <c r="F17" s="4">
        <f>F5+F16</f>
        <v>42462250</v>
      </c>
      <c r="G17" s="4">
        <f>G5+G16</f>
        <v>8276750</v>
      </c>
      <c r="H17" s="1"/>
    </row>
    <row r="18" spans="1:9" x14ac:dyDescent="0.35">
      <c r="A18" s="56" t="s">
        <v>7</v>
      </c>
      <c r="B18" s="57"/>
      <c r="C18" s="58"/>
      <c r="D18" s="3"/>
      <c r="E18" s="4">
        <f>E17</f>
        <v>50739000</v>
      </c>
      <c r="F18" s="4">
        <f t="shared" ref="E18:F18" si="1">F17</f>
        <v>42462250</v>
      </c>
      <c r="G18" s="4">
        <f>G17</f>
        <v>8276750</v>
      </c>
      <c r="H18" s="1"/>
      <c r="I18" s="5">
        <f>G17-G16</f>
        <v>24000</v>
      </c>
    </row>
    <row r="19" spans="1:9" x14ac:dyDescent="0.35">
      <c r="E19" s="55"/>
    </row>
    <row r="20" spans="1:9" x14ac:dyDescent="0.35">
      <c r="F20" s="59" t="s">
        <v>24</v>
      </c>
      <c r="G20" s="59"/>
      <c r="H20" s="59"/>
    </row>
    <row r="21" spans="1:9" x14ac:dyDescent="0.35">
      <c r="F21" s="59" t="s">
        <v>12</v>
      </c>
      <c r="G21" s="59"/>
      <c r="H21" s="59"/>
    </row>
  </sheetData>
  <mergeCells count="8">
    <mergeCell ref="A18:C18"/>
    <mergeCell ref="F20:H20"/>
    <mergeCell ref="F21:H21"/>
    <mergeCell ref="A1:H1"/>
    <mergeCell ref="A2:H2"/>
    <mergeCell ref="A3:H3"/>
    <mergeCell ref="A16:C16"/>
    <mergeCell ref="A17:C17"/>
  </mergeCells>
  <pageMargins left="0.75" right="0.75" top="1" bottom="1" header="0.5" footer="0.5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K50"/>
  <sheetViews>
    <sheetView zoomScale="129" workbookViewId="0">
      <selection activeCell="A2" sqref="A2:H2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7" width="16.54296875" customWidth="1"/>
    <col min="8" max="8" width="11.54296875" customWidth="1"/>
    <col min="9" max="9" width="14.81640625" bestFit="1" customWidth="1"/>
    <col min="11" max="11" width="12.26953125" bestFit="1" customWidth="1"/>
  </cols>
  <sheetData>
    <row r="1" spans="1:9" ht="15.5" x14ac:dyDescent="0.35">
      <c r="A1" s="60" t="s">
        <v>11</v>
      </c>
      <c r="B1" s="60"/>
      <c r="C1" s="60"/>
      <c r="D1" s="60"/>
      <c r="E1" s="60"/>
      <c r="F1" s="60"/>
      <c r="G1" s="60"/>
      <c r="H1" s="60"/>
    </row>
    <row r="2" spans="1:9" ht="15.5" x14ac:dyDescent="0.35">
      <c r="A2" s="60" t="str">
        <f>'Juni '!A2</f>
        <v>BUKU KAS UMUM</v>
      </c>
      <c r="B2" s="60"/>
      <c r="C2" s="60"/>
      <c r="D2" s="60"/>
      <c r="E2" s="60"/>
      <c r="F2" s="60"/>
      <c r="G2" s="60"/>
      <c r="H2" s="60"/>
    </row>
    <row r="3" spans="1:9" ht="15.5" x14ac:dyDescent="0.35">
      <c r="A3" s="60" t="s">
        <v>26</v>
      </c>
      <c r="B3" s="60"/>
      <c r="C3" s="60"/>
      <c r="D3" s="60"/>
      <c r="E3" s="60"/>
      <c r="F3" s="60"/>
      <c r="G3" s="60"/>
      <c r="H3" s="60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46204</v>
      </c>
      <c r="C5" s="21" t="s">
        <v>13</v>
      </c>
      <c r="D5" s="22"/>
      <c r="E5" s="23">
        <f>'Juni '!E18</f>
        <v>50739000</v>
      </c>
      <c r="F5" s="23">
        <f>'Juni '!F18</f>
        <v>42462250</v>
      </c>
      <c r="G5" s="23">
        <f>'Juni '!G18</f>
        <v>8276750</v>
      </c>
      <c r="H5" s="24"/>
      <c r="I5" s="17">
        <f>G5*5%</f>
        <v>413837.5</v>
      </c>
    </row>
    <row r="6" spans="1:9" s="13" customFormat="1" x14ac:dyDescent="0.35">
      <c r="A6" s="12">
        <v>2</v>
      </c>
      <c r="B6" s="19"/>
      <c r="C6" s="8"/>
      <c r="D6" s="9"/>
      <c r="E6" s="10"/>
      <c r="F6" s="10"/>
      <c r="G6" s="10">
        <f>G5+E6-F6</f>
        <v>8276750</v>
      </c>
      <c r="H6" s="9"/>
    </row>
    <row r="7" spans="1:9" s="13" customFormat="1" x14ac:dyDescent="0.35">
      <c r="A7" s="12">
        <v>3</v>
      </c>
      <c r="B7" s="18"/>
      <c r="C7" s="14"/>
      <c r="D7" s="14"/>
      <c r="E7" s="6"/>
      <c r="F7" s="6"/>
      <c r="G7" s="10">
        <f t="shared" ref="G7:G44" si="0">G6+E7-F7</f>
        <v>8276750</v>
      </c>
      <c r="H7" s="14"/>
    </row>
    <row r="8" spans="1:9" s="13" customFormat="1" x14ac:dyDescent="0.35">
      <c r="A8" s="12">
        <v>4</v>
      </c>
      <c r="B8" s="18"/>
      <c r="C8" s="14"/>
      <c r="D8" s="14"/>
      <c r="E8" s="6"/>
      <c r="F8" s="6"/>
      <c r="G8" s="10">
        <f t="shared" si="0"/>
        <v>8276750</v>
      </c>
      <c r="H8" s="14"/>
    </row>
    <row r="9" spans="1:9" s="13" customFormat="1" x14ac:dyDescent="0.35">
      <c r="A9" s="12">
        <v>5</v>
      </c>
      <c r="B9" s="18"/>
      <c r="C9" s="14"/>
      <c r="D9" s="14"/>
      <c r="E9" s="6"/>
      <c r="F9" s="6"/>
      <c r="G9" s="10">
        <f t="shared" si="0"/>
        <v>8276750</v>
      </c>
      <c r="H9" s="14"/>
    </row>
    <row r="10" spans="1:9" s="13" customFormat="1" x14ac:dyDescent="0.35">
      <c r="A10" s="12">
        <v>6</v>
      </c>
      <c r="B10" s="18"/>
      <c r="C10" s="14"/>
      <c r="D10" s="14"/>
      <c r="E10" s="6"/>
      <c r="F10" s="6"/>
      <c r="G10" s="10">
        <f t="shared" si="0"/>
        <v>8276750</v>
      </c>
      <c r="H10" s="14"/>
    </row>
    <row r="11" spans="1:9" s="13" customFormat="1" x14ac:dyDescent="0.35">
      <c r="A11" s="12">
        <v>7</v>
      </c>
      <c r="B11" s="18"/>
      <c r="C11" s="14"/>
      <c r="D11" s="14"/>
      <c r="E11" s="6"/>
      <c r="F11" s="6"/>
      <c r="G11" s="10">
        <f t="shared" si="0"/>
        <v>8276750</v>
      </c>
      <c r="H11" s="14"/>
    </row>
    <row r="12" spans="1:9" s="13" customFormat="1" x14ac:dyDescent="0.35">
      <c r="A12" s="12">
        <v>8</v>
      </c>
      <c r="B12" s="18"/>
      <c r="C12" s="14"/>
      <c r="D12" s="14"/>
      <c r="E12" s="6"/>
      <c r="F12" s="6"/>
      <c r="G12" s="10">
        <f t="shared" si="0"/>
        <v>8276750</v>
      </c>
      <c r="H12" s="14"/>
    </row>
    <row r="13" spans="1:9" s="13" customFormat="1" x14ac:dyDescent="0.35">
      <c r="A13" s="12">
        <v>9</v>
      </c>
      <c r="B13" s="18"/>
      <c r="C13" s="14"/>
      <c r="D13" s="14"/>
      <c r="E13" s="6"/>
      <c r="F13" s="6"/>
      <c r="G13" s="10">
        <f t="shared" si="0"/>
        <v>8276750</v>
      </c>
      <c r="H13" s="14"/>
    </row>
    <row r="14" spans="1:9" s="13" customFormat="1" x14ac:dyDescent="0.35">
      <c r="A14" s="12">
        <v>10</v>
      </c>
      <c r="B14" s="18"/>
      <c r="C14" s="14"/>
      <c r="D14" s="14"/>
      <c r="E14" s="6"/>
      <c r="F14" s="6"/>
      <c r="G14" s="10">
        <f t="shared" si="0"/>
        <v>8276750</v>
      </c>
      <c r="H14" s="14"/>
    </row>
    <row r="15" spans="1:9" s="13" customFormat="1" x14ac:dyDescent="0.35">
      <c r="A15" s="12">
        <v>11</v>
      </c>
      <c r="B15" s="18"/>
      <c r="C15" s="14"/>
      <c r="D15" s="14"/>
      <c r="E15" s="6"/>
      <c r="F15" s="6"/>
      <c r="G15" s="10">
        <f t="shared" si="0"/>
        <v>8276750</v>
      </c>
      <c r="H15" s="14"/>
    </row>
    <row r="16" spans="1:9" s="13" customFormat="1" x14ac:dyDescent="0.35">
      <c r="A16" s="12">
        <v>12</v>
      </c>
      <c r="B16" s="18"/>
      <c r="C16" s="14"/>
      <c r="D16" s="14"/>
      <c r="E16" s="6"/>
      <c r="F16" s="6"/>
      <c r="G16" s="10">
        <f t="shared" si="0"/>
        <v>8276750</v>
      </c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10">
        <f t="shared" si="0"/>
        <v>8276750</v>
      </c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10">
        <f t="shared" si="0"/>
        <v>8276750</v>
      </c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10">
        <f t="shared" si="0"/>
        <v>8276750</v>
      </c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10">
        <f t="shared" si="0"/>
        <v>8276750</v>
      </c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10">
        <f t="shared" si="0"/>
        <v>8276750</v>
      </c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10">
        <f t="shared" si="0"/>
        <v>8276750</v>
      </c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10">
        <f t="shared" si="0"/>
        <v>8276750</v>
      </c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10">
        <f t="shared" si="0"/>
        <v>8276750</v>
      </c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10">
        <f t="shared" si="0"/>
        <v>8276750</v>
      </c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10">
        <f t="shared" si="0"/>
        <v>8276750</v>
      </c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10">
        <f t="shared" si="0"/>
        <v>8276750</v>
      </c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10">
        <f t="shared" si="0"/>
        <v>8276750</v>
      </c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10">
        <f t="shared" si="0"/>
        <v>8276750</v>
      </c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10">
        <f t="shared" si="0"/>
        <v>8276750</v>
      </c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10">
        <f t="shared" si="0"/>
        <v>8276750</v>
      </c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10">
        <f t="shared" si="0"/>
        <v>8276750</v>
      </c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10">
        <f t="shared" si="0"/>
        <v>8276750</v>
      </c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10">
        <f t="shared" si="0"/>
        <v>8276750</v>
      </c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10">
        <f t="shared" si="0"/>
        <v>8276750</v>
      </c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10">
        <f t="shared" si="0"/>
        <v>8276750</v>
      </c>
      <c r="H36" s="61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10">
        <f t="shared" si="0"/>
        <v>8276750</v>
      </c>
      <c r="H37" s="62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10">
        <f t="shared" si="0"/>
        <v>8276750</v>
      </c>
      <c r="H38" s="62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10">
        <f t="shared" si="0"/>
        <v>8276750</v>
      </c>
      <c r="H39" s="62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10">
        <f t="shared" si="0"/>
        <v>8276750</v>
      </c>
      <c r="H40" s="62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10">
        <f t="shared" si="0"/>
        <v>8276750</v>
      </c>
      <c r="H41" s="62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10">
        <f t="shared" si="0"/>
        <v>8276750</v>
      </c>
      <c r="H42" s="62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10">
        <f t="shared" si="0"/>
        <v>8276750</v>
      </c>
      <c r="H43" s="63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10">
        <f t="shared" si="0"/>
        <v>8276750</v>
      </c>
      <c r="I44" s="16">
        <f>SUM(E7:E44)</f>
        <v>0</v>
      </c>
      <c r="J44" s="13">
        <f>1782500</f>
        <v>1782500</v>
      </c>
      <c r="K44" s="16">
        <f>I44-J44</f>
        <v>-1782500</v>
      </c>
    </row>
    <row r="45" spans="1:11" x14ac:dyDescent="0.35">
      <c r="A45" s="56" t="s">
        <v>5</v>
      </c>
      <c r="B45" s="57"/>
      <c r="C45" s="58"/>
      <c r="D45" s="3"/>
      <c r="E45" s="4">
        <f>SUM(E6:E44)</f>
        <v>0</v>
      </c>
      <c r="F45" s="4">
        <f>SUM(F6:F44)</f>
        <v>0</v>
      </c>
      <c r="G45" s="4">
        <f>F45-E45</f>
        <v>0</v>
      </c>
      <c r="H45" s="1"/>
    </row>
    <row r="46" spans="1:11" x14ac:dyDescent="0.35">
      <c r="A46" s="56" t="s">
        <v>6</v>
      </c>
      <c r="B46" s="57"/>
      <c r="C46" s="58"/>
      <c r="D46" s="3"/>
      <c r="E46" s="4">
        <f>E5+E45</f>
        <v>50739000</v>
      </c>
      <c r="F46" s="4">
        <f t="shared" ref="F46:G46" si="1">F5+F45</f>
        <v>42462250</v>
      </c>
      <c r="G46" s="4">
        <f t="shared" si="1"/>
        <v>8276750</v>
      </c>
      <c r="H46" s="1"/>
    </row>
    <row r="47" spans="1:11" x14ac:dyDescent="0.35">
      <c r="A47" s="56" t="s">
        <v>7</v>
      </c>
      <c r="B47" s="57"/>
      <c r="C47" s="58"/>
      <c r="D47" s="3"/>
      <c r="E47" s="4">
        <f t="shared" ref="E47:G47" si="2">E46</f>
        <v>50739000</v>
      </c>
      <c r="F47" s="4">
        <f t="shared" si="2"/>
        <v>42462250</v>
      </c>
      <c r="G47" s="4">
        <f t="shared" si="2"/>
        <v>8276750</v>
      </c>
      <c r="H47" s="1"/>
      <c r="I47" s="5">
        <f>2477500-1782500</f>
        <v>695000</v>
      </c>
    </row>
    <row r="49" spans="6:8" x14ac:dyDescent="0.35">
      <c r="F49" s="59" t="s">
        <v>25</v>
      </c>
      <c r="G49" s="59"/>
      <c r="H49" s="59"/>
    </row>
    <row r="50" spans="6:8" x14ac:dyDescent="0.35">
      <c r="F50" s="59" t="s">
        <v>12</v>
      </c>
      <c r="G50" s="59"/>
      <c r="H50" s="59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ageMargins left="0.75" right="0.75" top="1" bottom="1" header="0.5" footer="0.5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K50"/>
  <sheetViews>
    <sheetView zoomScale="129" workbookViewId="0">
      <selection activeCell="A3" sqref="A3:H3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7" width="16.54296875" customWidth="1"/>
    <col min="8" max="8" width="11.54296875" customWidth="1"/>
    <col min="9" max="9" width="14.81640625" bestFit="1" customWidth="1"/>
    <col min="11" max="11" width="12.26953125" bestFit="1" customWidth="1"/>
  </cols>
  <sheetData>
    <row r="1" spans="1:9" ht="15.5" x14ac:dyDescent="0.35">
      <c r="A1" s="60" t="s">
        <v>11</v>
      </c>
      <c r="B1" s="60"/>
      <c r="C1" s="60"/>
      <c r="D1" s="60"/>
      <c r="E1" s="60"/>
      <c r="F1" s="60"/>
      <c r="G1" s="60"/>
      <c r="H1" s="60"/>
    </row>
    <row r="2" spans="1:9" ht="15.5" x14ac:dyDescent="0.35">
      <c r="A2" s="60" t="str">
        <f>Juli!A2</f>
        <v>BUKU KAS UMUM</v>
      </c>
      <c r="B2" s="60"/>
      <c r="C2" s="60"/>
      <c r="D2" s="60"/>
      <c r="E2" s="60"/>
      <c r="F2" s="60"/>
      <c r="G2" s="60"/>
      <c r="H2" s="60"/>
    </row>
    <row r="3" spans="1:9" ht="15.5" x14ac:dyDescent="0.35">
      <c r="A3" s="60" t="s">
        <v>27</v>
      </c>
      <c r="B3" s="60"/>
      <c r="C3" s="60"/>
      <c r="D3" s="60"/>
      <c r="E3" s="60"/>
      <c r="F3" s="60"/>
      <c r="G3" s="60"/>
      <c r="H3" s="60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46235</v>
      </c>
      <c r="C5" s="21" t="s">
        <v>13</v>
      </c>
      <c r="D5" s="22"/>
      <c r="E5" s="23">
        <f>Juli!E47</f>
        <v>50739000</v>
      </c>
      <c r="F5" s="23">
        <f>Juli!F47</f>
        <v>42462250</v>
      </c>
      <c r="G5" s="23">
        <f>Juli!G47</f>
        <v>8276750</v>
      </c>
      <c r="H5" s="24"/>
      <c r="I5" s="17">
        <f>G5*5%</f>
        <v>413837.5</v>
      </c>
    </row>
    <row r="6" spans="1:9" s="13" customFormat="1" x14ac:dyDescent="0.35">
      <c r="A6" s="12">
        <v>2</v>
      </c>
      <c r="B6" s="19"/>
      <c r="C6" s="8"/>
      <c r="D6" s="9"/>
      <c r="E6" s="10"/>
      <c r="F6" s="10"/>
      <c r="G6" s="10">
        <f>G5+E6-F6</f>
        <v>8276750</v>
      </c>
      <c r="H6" s="9"/>
    </row>
    <row r="7" spans="1:9" s="13" customFormat="1" x14ac:dyDescent="0.35">
      <c r="A7" s="12">
        <v>3</v>
      </c>
      <c r="B7" s="18"/>
      <c r="C7" s="14"/>
      <c r="D7" s="14"/>
      <c r="E7" s="6"/>
      <c r="F7" s="6"/>
      <c r="G7" s="10">
        <f t="shared" ref="G7:G44" si="0">G6+E7-F7</f>
        <v>8276750</v>
      </c>
      <c r="H7" s="14"/>
    </row>
    <row r="8" spans="1:9" s="13" customFormat="1" x14ac:dyDescent="0.35">
      <c r="A8" s="12">
        <v>4</v>
      </c>
      <c r="B8" s="18"/>
      <c r="C8" s="14"/>
      <c r="D8" s="14"/>
      <c r="E8" s="6"/>
      <c r="F8" s="6"/>
      <c r="G8" s="10">
        <f t="shared" si="0"/>
        <v>8276750</v>
      </c>
      <c r="H8" s="14"/>
    </row>
    <row r="9" spans="1:9" s="13" customFormat="1" x14ac:dyDescent="0.35">
      <c r="A9" s="12">
        <v>5</v>
      </c>
      <c r="B9" s="18"/>
      <c r="C9" s="14"/>
      <c r="D9" s="14"/>
      <c r="E9" s="6"/>
      <c r="F9" s="6"/>
      <c r="G9" s="10">
        <f t="shared" si="0"/>
        <v>8276750</v>
      </c>
      <c r="H9" s="14"/>
    </row>
    <row r="10" spans="1:9" s="13" customFormat="1" x14ac:dyDescent="0.35">
      <c r="A10" s="12">
        <v>6</v>
      </c>
      <c r="B10" s="18"/>
      <c r="C10" s="14"/>
      <c r="D10" s="14"/>
      <c r="E10" s="6"/>
      <c r="F10" s="6"/>
      <c r="G10" s="10">
        <f t="shared" si="0"/>
        <v>8276750</v>
      </c>
      <c r="H10" s="14"/>
    </row>
    <row r="11" spans="1:9" s="13" customFormat="1" x14ac:dyDescent="0.35">
      <c r="A11" s="12">
        <v>7</v>
      </c>
      <c r="B11" s="18"/>
      <c r="C11" s="14"/>
      <c r="D11" s="14"/>
      <c r="E11" s="6"/>
      <c r="F11" s="6"/>
      <c r="G11" s="10">
        <f t="shared" si="0"/>
        <v>8276750</v>
      </c>
      <c r="H11" s="14"/>
    </row>
    <row r="12" spans="1:9" s="13" customFormat="1" x14ac:dyDescent="0.35">
      <c r="A12" s="12">
        <v>8</v>
      </c>
      <c r="B12" s="18"/>
      <c r="C12" s="14"/>
      <c r="D12" s="14"/>
      <c r="E12" s="6"/>
      <c r="F12" s="6"/>
      <c r="G12" s="10">
        <f t="shared" si="0"/>
        <v>8276750</v>
      </c>
      <c r="H12" s="14"/>
    </row>
    <row r="13" spans="1:9" s="13" customFormat="1" x14ac:dyDescent="0.35">
      <c r="A13" s="12">
        <v>9</v>
      </c>
      <c r="B13" s="18"/>
      <c r="C13" s="14"/>
      <c r="D13" s="14"/>
      <c r="E13" s="6"/>
      <c r="F13" s="6"/>
      <c r="G13" s="10">
        <f t="shared" si="0"/>
        <v>8276750</v>
      </c>
      <c r="H13" s="14"/>
    </row>
    <row r="14" spans="1:9" s="13" customFormat="1" x14ac:dyDescent="0.35">
      <c r="A14" s="12">
        <v>10</v>
      </c>
      <c r="B14" s="18"/>
      <c r="C14" s="14"/>
      <c r="D14" s="14"/>
      <c r="E14" s="6"/>
      <c r="F14" s="6"/>
      <c r="G14" s="10">
        <f t="shared" si="0"/>
        <v>8276750</v>
      </c>
      <c r="H14" s="14"/>
    </row>
    <row r="15" spans="1:9" s="13" customFormat="1" x14ac:dyDescent="0.35">
      <c r="A15" s="12">
        <v>11</v>
      </c>
      <c r="B15" s="18"/>
      <c r="C15" s="14"/>
      <c r="D15" s="14"/>
      <c r="E15" s="6"/>
      <c r="F15" s="6"/>
      <c r="G15" s="10">
        <f t="shared" si="0"/>
        <v>8276750</v>
      </c>
      <c r="H15" s="14"/>
    </row>
    <row r="16" spans="1:9" s="13" customFormat="1" x14ac:dyDescent="0.35">
      <c r="A16" s="12">
        <v>12</v>
      </c>
      <c r="B16" s="18"/>
      <c r="C16" s="14"/>
      <c r="D16" s="14"/>
      <c r="E16" s="6"/>
      <c r="F16" s="6"/>
      <c r="G16" s="10">
        <f t="shared" si="0"/>
        <v>8276750</v>
      </c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10">
        <f t="shared" si="0"/>
        <v>8276750</v>
      </c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10">
        <f t="shared" si="0"/>
        <v>8276750</v>
      </c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10">
        <f t="shared" si="0"/>
        <v>8276750</v>
      </c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10">
        <f t="shared" si="0"/>
        <v>8276750</v>
      </c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10">
        <f t="shared" si="0"/>
        <v>8276750</v>
      </c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10">
        <f t="shared" si="0"/>
        <v>8276750</v>
      </c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10">
        <f t="shared" si="0"/>
        <v>8276750</v>
      </c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10">
        <f t="shared" si="0"/>
        <v>8276750</v>
      </c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10">
        <f t="shared" si="0"/>
        <v>8276750</v>
      </c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10">
        <f t="shared" si="0"/>
        <v>8276750</v>
      </c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10">
        <f t="shared" si="0"/>
        <v>8276750</v>
      </c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10">
        <f t="shared" si="0"/>
        <v>8276750</v>
      </c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10">
        <f t="shared" si="0"/>
        <v>8276750</v>
      </c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10">
        <f t="shared" si="0"/>
        <v>8276750</v>
      </c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10">
        <f t="shared" si="0"/>
        <v>8276750</v>
      </c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10">
        <f t="shared" si="0"/>
        <v>8276750</v>
      </c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10">
        <f t="shared" si="0"/>
        <v>8276750</v>
      </c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10">
        <f t="shared" si="0"/>
        <v>8276750</v>
      </c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10">
        <f t="shared" si="0"/>
        <v>8276750</v>
      </c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10">
        <f t="shared" si="0"/>
        <v>8276750</v>
      </c>
      <c r="H36" s="61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10">
        <f t="shared" si="0"/>
        <v>8276750</v>
      </c>
      <c r="H37" s="62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10">
        <f t="shared" si="0"/>
        <v>8276750</v>
      </c>
      <c r="H38" s="62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10">
        <f t="shared" si="0"/>
        <v>8276750</v>
      </c>
      <c r="H39" s="62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10">
        <f t="shared" si="0"/>
        <v>8276750</v>
      </c>
      <c r="H40" s="62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10">
        <f t="shared" si="0"/>
        <v>8276750</v>
      </c>
      <c r="H41" s="62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10">
        <f t="shared" si="0"/>
        <v>8276750</v>
      </c>
      <c r="H42" s="62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10">
        <f t="shared" si="0"/>
        <v>8276750</v>
      </c>
      <c r="H43" s="63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10">
        <f t="shared" si="0"/>
        <v>8276750</v>
      </c>
      <c r="I44" s="16">
        <f>SUM(E7:E44)</f>
        <v>0</v>
      </c>
      <c r="J44" s="13">
        <f>1782500</f>
        <v>1782500</v>
      </c>
      <c r="K44" s="16">
        <f>I44-J44</f>
        <v>-1782500</v>
      </c>
    </row>
    <row r="45" spans="1:11" x14ac:dyDescent="0.35">
      <c r="A45" s="56" t="s">
        <v>5</v>
      </c>
      <c r="B45" s="57"/>
      <c r="C45" s="58"/>
      <c r="D45" s="3"/>
      <c r="E45" s="4">
        <f>SUM(E6:E44)</f>
        <v>0</v>
      </c>
      <c r="F45" s="4">
        <f>SUM(F6:F44)</f>
        <v>0</v>
      </c>
      <c r="G45" s="4">
        <f>F45-E45</f>
        <v>0</v>
      </c>
      <c r="H45" s="1"/>
    </row>
    <row r="46" spans="1:11" x14ac:dyDescent="0.35">
      <c r="A46" s="56" t="s">
        <v>6</v>
      </c>
      <c r="B46" s="57"/>
      <c r="C46" s="58"/>
      <c r="D46" s="3"/>
      <c r="E46" s="4">
        <f>E5+E45</f>
        <v>50739000</v>
      </c>
      <c r="F46" s="4">
        <f t="shared" ref="F46:G46" si="1">F5+F45</f>
        <v>42462250</v>
      </c>
      <c r="G46" s="4">
        <f t="shared" si="1"/>
        <v>8276750</v>
      </c>
      <c r="H46" s="1"/>
    </row>
    <row r="47" spans="1:11" x14ac:dyDescent="0.35">
      <c r="A47" s="56" t="s">
        <v>7</v>
      </c>
      <c r="B47" s="57"/>
      <c r="C47" s="58"/>
      <c r="D47" s="3"/>
      <c r="E47" s="4">
        <f t="shared" ref="E47:G47" si="2">E46</f>
        <v>50739000</v>
      </c>
      <c r="F47" s="4">
        <f t="shared" si="2"/>
        <v>42462250</v>
      </c>
      <c r="G47" s="4">
        <f t="shared" si="2"/>
        <v>8276750</v>
      </c>
      <c r="H47" s="1"/>
      <c r="I47" s="5">
        <f>2477500-1782500</f>
        <v>695000</v>
      </c>
    </row>
    <row r="49" spans="6:8" x14ac:dyDescent="0.35">
      <c r="F49" s="59" t="s">
        <v>28</v>
      </c>
      <c r="G49" s="59"/>
      <c r="H49" s="59"/>
    </row>
    <row r="50" spans="6:8" x14ac:dyDescent="0.35">
      <c r="F50" s="59" t="s">
        <v>12</v>
      </c>
      <c r="G50" s="59"/>
      <c r="H50" s="59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ageMargins left="0.75" right="0.75" top="1" bottom="1" header="0.5" footer="0.5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K50"/>
  <sheetViews>
    <sheetView topLeftCell="A35" zoomScale="129" workbookViewId="0">
      <selection activeCell="A37" sqref="A37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7" width="16.54296875" customWidth="1"/>
    <col min="8" max="8" width="11.54296875" customWidth="1"/>
    <col min="9" max="9" width="14.81640625" bestFit="1" customWidth="1"/>
    <col min="11" max="11" width="12.26953125" bestFit="1" customWidth="1"/>
  </cols>
  <sheetData>
    <row r="1" spans="1:9" ht="15.5" x14ac:dyDescent="0.35">
      <c r="A1" s="60" t="s">
        <v>11</v>
      </c>
      <c r="B1" s="60"/>
      <c r="C1" s="60"/>
      <c r="D1" s="60"/>
      <c r="E1" s="60"/>
      <c r="F1" s="60"/>
      <c r="G1" s="60"/>
      <c r="H1" s="60"/>
    </row>
    <row r="2" spans="1:9" ht="15.5" x14ac:dyDescent="0.35">
      <c r="A2" s="60" t="str">
        <f>Agustus!A2</f>
        <v>BUKU KAS UMUM</v>
      </c>
      <c r="B2" s="60"/>
      <c r="C2" s="60"/>
      <c r="D2" s="60"/>
      <c r="E2" s="60"/>
      <c r="F2" s="60"/>
      <c r="G2" s="60"/>
      <c r="H2" s="60"/>
    </row>
    <row r="3" spans="1:9" ht="15.5" x14ac:dyDescent="0.35">
      <c r="A3" s="60" t="s">
        <v>30</v>
      </c>
      <c r="B3" s="60"/>
      <c r="C3" s="60"/>
      <c r="D3" s="60"/>
      <c r="E3" s="60"/>
      <c r="F3" s="60"/>
      <c r="G3" s="60"/>
      <c r="H3" s="60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46266</v>
      </c>
      <c r="C5" s="21" t="s">
        <v>13</v>
      </c>
      <c r="D5" s="22"/>
      <c r="E5" s="23">
        <f>Agustus!E47</f>
        <v>50739000</v>
      </c>
      <c r="F5" s="23">
        <f>Agustus!F47</f>
        <v>42462250</v>
      </c>
      <c r="G5" s="23">
        <f>Agustus!G47</f>
        <v>8276750</v>
      </c>
      <c r="H5" s="24"/>
      <c r="I5" s="17">
        <f>G5*5%</f>
        <v>413837.5</v>
      </c>
    </row>
    <row r="6" spans="1:9" s="13" customFormat="1" x14ac:dyDescent="0.35">
      <c r="A6" s="12">
        <v>2</v>
      </c>
      <c r="B6" s="19"/>
      <c r="C6" s="8"/>
      <c r="D6" s="9"/>
      <c r="E6" s="10"/>
      <c r="F6" s="10"/>
      <c r="G6" s="10">
        <f>G5+E6-F6</f>
        <v>8276750</v>
      </c>
      <c r="H6" s="9"/>
    </row>
    <row r="7" spans="1:9" s="13" customFormat="1" x14ac:dyDescent="0.35">
      <c r="A7" s="12">
        <v>3</v>
      </c>
      <c r="B7" s="18"/>
      <c r="C7" s="14"/>
      <c r="D7" s="14"/>
      <c r="E7" s="6"/>
      <c r="F7" s="6"/>
      <c r="G7" s="10">
        <f t="shared" ref="G7:G44" si="0">G6+E7-F7</f>
        <v>8276750</v>
      </c>
      <c r="H7" s="14"/>
    </row>
    <row r="8" spans="1:9" s="13" customFormat="1" x14ac:dyDescent="0.35">
      <c r="A8" s="12">
        <v>4</v>
      </c>
      <c r="B8" s="18"/>
      <c r="C8" s="14"/>
      <c r="D8" s="14"/>
      <c r="E8" s="6"/>
      <c r="F8" s="6"/>
      <c r="G8" s="10">
        <f t="shared" si="0"/>
        <v>8276750</v>
      </c>
      <c r="H8" s="14"/>
    </row>
    <row r="9" spans="1:9" s="13" customFormat="1" x14ac:dyDescent="0.35">
      <c r="A9" s="12">
        <v>5</v>
      </c>
      <c r="B9" s="18"/>
      <c r="C9" s="14"/>
      <c r="D9" s="14"/>
      <c r="E9" s="6"/>
      <c r="F9" s="6"/>
      <c r="G9" s="10">
        <f t="shared" si="0"/>
        <v>8276750</v>
      </c>
      <c r="H9" s="14"/>
    </row>
    <row r="10" spans="1:9" s="13" customFormat="1" x14ac:dyDescent="0.35">
      <c r="A10" s="12">
        <v>6</v>
      </c>
      <c r="B10" s="18"/>
      <c r="C10" s="14"/>
      <c r="D10" s="14"/>
      <c r="E10" s="6"/>
      <c r="F10" s="6"/>
      <c r="G10" s="10">
        <f t="shared" si="0"/>
        <v>8276750</v>
      </c>
      <c r="H10" s="14"/>
    </row>
    <row r="11" spans="1:9" s="13" customFormat="1" x14ac:dyDescent="0.35">
      <c r="A11" s="12">
        <v>7</v>
      </c>
      <c r="B11" s="18"/>
      <c r="C11" s="14"/>
      <c r="D11" s="14"/>
      <c r="E11" s="6"/>
      <c r="F11" s="6"/>
      <c r="G11" s="10">
        <f t="shared" si="0"/>
        <v>8276750</v>
      </c>
      <c r="H11" s="14"/>
    </row>
    <row r="12" spans="1:9" s="13" customFormat="1" x14ac:dyDescent="0.35">
      <c r="A12" s="12">
        <v>8</v>
      </c>
      <c r="B12" s="18"/>
      <c r="C12" s="14"/>
      <c r="D12" s="14"/>
      <c r="E12" s="6"/>
      <c r="F12" s="6"/>
      <c r="G12" s="10">
        <f t="shared" si="0"/>
        <v>8276750</v>
      </c>
      <c r="H12" s="14"/>
    </row>
    <row r="13" spans="1:9" s="13" customFormat="1" x14ac:dyDescent="0.35">
      <c r="A13" s="12">
        <v>9</v>
      </c>
      <c r="B13" s="18"/>
      <c r="C13" s="14"/>
      <c r="D13" s="14"/>
      <c r="E13" s="6"/>
      <c r="F13" s="6"/>
      <c r="G13" s="10">
        <f t="shared" si="0"/>
        <v>8276750</v>
      </c>
      <c r="H13" s="14"/>
    </row>
    <row r="14" spans="1:9" s="13" customFormat="1" x14ac:dyDescent="0.35">
      <c r="A14" s="12">
        <v>10</v>
      </c>
      <c r="B14" s="18"/>
      <c r="C14" s="14"/>
      <c r="D14" s="14"/>
      <c r="E14" s="6"/>
      <c r="F14" s="6"/>
      <c r="G14" s="10">
        <f t="shared" si="0"/>
        <v>8276750</v>
      </c>
      <c r="H14" s="14"/>
    </row>
    <row r="15" spans="1:9" s="13" customFormat="1" x14ac:dyDescent="0.35">
      <c r="A15" s="12">
        <v>11</v>
      </c>
      <c r="B15" s="18"/>
      <c r="C15" s="14"/>
      <c r="D15" s="14"/>
      <c r="E15" s="6"/>
      <c r="F15" s="6"/>
      <c r="G15" s="10">
        <f t="shared" si="0"/>
        <v>8276750</v>
      </c>
      <c r="H15" s="14"/>
    </row>
    <row r="16" spans="1:9" s="13" customFormat="1" x14ac:dyDescent="0.35">
      <c r="A16" s="12">
        <v>12</v>
      </c>
      <c r="B16" s="18"/>
      <c r="C16" s="14"/>
      <c r="D16" s="14"/>
      <c r="E16" s="6"/>
      <c r="F16" s="6"/>
      <c r="G16" s="10">
        <f t="shared" si="0"/>
        <v>8276750</v>
      </c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10">
        <f t="shared" si="0"/>
        <v>8276750</v>
      </c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10">
        <f t="shared" si="0"/>
        <v>8276750</v>
      </c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10">
        <f t="shared" si="0"/>
        <v>8276750</v>
      </c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10">
        <f t="shared" si="0"/>
        <v>8276750</v>
      </c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10">
        <f t="shared" si="0"/>
        <v>8276750</v>
      </c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10">
        <f t="shared" si="0"/>
        <v>8276750</v>
      </c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10">
        <f t="shared" si="0"/>
        <v>8276750</v>
      </c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10">
        <f t="shared" si="0"/>
        <v>8276750</v>
      </c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10">
        <f t="shared" si="0"/>
        <v>8276750</v>
      </c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10">
        <f t="shared" si="0"/>
        <v>8276750</v>
      </c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10">
        <f t="shared" si="0"/>
        <v>8276750</v>
      </c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10">
        <f t="shared" si="0"/>
        <v>8276750</v>
      </c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10">
        <f t="shared" si="0"/>
        <v>8276750</v>
      </c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10">
        <f t="shared" si="0"/>
        <v>8276750</v>
      </c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10">
        <f t="shared" si="0"/>
        <v>8276750</v>
      </c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10">
        <f t="shared" si="0"/>
        <v>8276750</v>
      </c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10">
        <f t="shared" si="0"/>
        <v>8276750</v>
      </c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10">
        <f t="shared" si="0"/>
        <v>8276750</v>
      </c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10">
        <f t="shared" si="0"/>
        <v>8276750</v>
      </c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10">
        <f t="shared" si="0"/>
        <v>8276750</v>
      </c>
      <c r="H36" s="61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10">
        <f t="shared" si="0"/>
        <v>8276750</v>
      </c>
      <c r="H37" s="62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10">
        <f t="shared" si="0"/>
        <v>8276750</v>
      </c>
      <c r="H38" s="62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10">
        <f t="shared" si="0"/>
        <v>8276750</v>
      </c>
      <c r="H39" s="62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10">
        <f t="shared" si="0"/>
        <v>8276750</v>
      </c>
      <c r="H40" s="62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10">
        <f t="shared" si="0"/>
        <v>8276750</v>
      </c>
      <c r="H41" s="62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10">
        <f t="shared" si="0"/>
        <v>8276750</v>
      </c>
      <c r="H42" s="62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10">
        <f t="shared" si="0"/>
        <v>8276750</v>
      </c>
      <c r="H43" s="63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10">
        <f t="shared" si="0"/>
        <v>8276750</v>
      </c>
      <c r="I44" s="16">
        <f>SUM(E7:E44)</f>
        <v>0</v>
      </c>
      <c r="J44" s="13">
        <f>1782500</f>
        <v>1782500</v>
      </c>
      <c r="K44" s="16">
        <f>I44-J44</f>
        <v>-1782500</v>
      </c>
    </row>
    <row r="45" spans="1:11" x14ac:dyDescent="0.35">
      <c r="A45" s="56" t="s">
        <v>5</v>
      </c>
      <c r="B45" s="57"/>
      <c r="C45" s="58"/>
      <c r="D45" s="3"/>
      <c r="E45" s="4">
        <f>SUM(E6:E44)</f>
        <v>0</v>
      </c>
      <c r="F45" s="4">
        <f>SUM(F6:F44)</f>
        <v>0</v>
      </c>
      <c r="G45" s="4">
        <f>F45-E45</f>
        <v>0</v>
      </c>
      <c r="H45" s="1"/>
    </row>
    <row r="46" spans="1:11" x14ac:dyDescent="0.35">
      <c r="A46" s="56" t="s">
        <v>6</v>
      </c>
      <c r="B46" s="57"/>
      <c r="C46" s="58"/>
      <c r="D46" s="3"/>
      <c r="E46" s="4">
        <f>E5+E45</f>
        <v>50739000</v>
      </c>
      <c r="F46" s="4">
        <f t="shared" ref="F46:G46" si="1">F5+F45</f>
        <v>42462250</v>
      </c>
      <c r="G46" s="4">
        <f t="shared" si="1"/>
        <v>8276750</v>
      </c>
      <c r="H46" s="1"/>
    </row>
    <row r="47" spans="1:11" x14ac:dyDescent="0.35">
      <c r="A47" s="56" t="s">
        <v>7</v>
      </c>
      <c r="B47" s="57"/>
      <c r="C47" s="58"/>
      <c r="D47" s="3"/>
      <c r="E47" s="4">
        <f t="shared" ref="E47:G47" si="2">E46</f>
        <v>50739000</v>
      </c>
      <c r="F47" s="4">
        <f t="shared" si="2"/>
        <v>42462250</v>
      </c>
      <c r="G47" s="4">
        <f t="shared" si="2"/>
        <v>8276750</v>
      </c>
      <c r="H47" s="1"/>
      <c r="I47" s="5">
        <f>2477500-1782500</f>
        <v>695000</v>
      </c>
    </row>
    <row r="49" spans="6:8" x14ac:dyDescent="0.35">
      <c r="F49" s="59" t="s">
        <v>29</v>
      </c>
      <c r="G49" s="59"/>
      <c r="H49" s="59"/>
    </row>
    <row r="50" spans="6:8" x14ac:dyDescent="0.35">
      <c r="F50" s="59" t="s">
        <v>12</v>
      </c>
      <c r="G50" s="59"/>
      <c r="H50" s="59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ageMargins left="0.75" right="0.75" top="1" bottom="1" header="0.5" footer="0.5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K50"/>
  <sheetViews>
    <sheetView zoomScale="129" workbookViewId="0">
      <selection activeCell="A3" sqref="A3:H3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7" width="16.54296875" customWidth="1"/>
    <col min="8" max="8" width="11.54296875" customWidth="1"/>
    <col min="9" max="9" width="14.81640625" bestFit="1" customWidth="1"/>
    <col min="11" max="11" width="12.26953125" bestFit="1" customWidth="1"/>
  </cols>
  <sheetData>
    <row r="1" spans="1:9" ht="15.5" x14ac:dyDescent="0.35">
      <c r="A1" s="60" t="s">
        <v>11</v>
      </c>
      <c r="B1" s="60"/>
      <c r="C1" s="60"/>
      <c r="D1" s="60"/>
      <c r="E1" s="60"/>
      <c r="F1" s="60"/>
      <c r="G1" s="60"/>
      <c r="H1" s="60"/>
    </row>
    <row r="2" spans="1:9" ht="15.5" x14ac:dyDescent="0.35">
      <c r="A2" s="60" t="str">
        <f>September!A2</f>
        <v>BUKU KAS UMUM</v>
      </c>
      <c r="B2" s="60"/>
      <c r="C2" s="60"/>
      <c r="D2" s="60"/>
      <c r="E2" s="60"/>
      <c r="F2" s="60"/>
      <c r="G2" s="60"/>
      <c r="H2" s="60"/>
    </row>
    <row r="3" spans="1:9" ht="15.5" x14ac:dyDescent="0.35">
      <c r="A3" s="60" t="s">
        <v>31</v>
      </c>
      <c r="B3" s="60"/>
      <c r="C3" s="60"/>
      <c r="D3" s="60"/>
      <c r="E3" s="60"/>
      <c r="F3" s="60"/>
      <c r="G3" s="60"/>
      <c r="H3" s="60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46296</v>
      </c>
      <c r="C5" s="21" t="s">
        <v>13</v>
      </c>
      <c r="D5" s="22"/>
      <c r="E5" s="23">
        <f>September!E47</f>
        <v>50739000</v>
      </c>
      <c r="F5" s="23">
        <f>September!F47</f>
        <v>42462250</v>
      </c>
      <c r="G5" s="23">
        <f>September!G47</f>
        <v>8276750</v>
      </c>
      <c r="H5" s="24"/>
      <c r="I5" s="17">
        <f>G5*5%</f>
        <v>413837.5</v>
      </c>
    </row>
    <row r="6" spans="1:9" s="13" customFormat="1" x14ac:dyDescent="0.35">
      <c r="A6" s="12">
        <v>2</v>
      </c>
      <c r="B6" s="19"/>
      <c r="C6" s="8"/>
      <c r="D6" s="9"/>
      <c r="E6" s="10"/>
      <c r="F6" s="10"/>
      <c r="G6" s="10">
        <f>G5+E6-F6</f>
        <v>8276750</v>
      </c>
      <c r="H6" s="9"/>
    </row>
    <row r="7" spans="1:9" s="13" customFormat="1" x14ac:dyDescent="0.35">
      <c r="A7" s="12">
        <v>3</v>
      </c>
      <c r="B7" s="18"/>
      <c r="C7" s="14"/>
      <c r="D7" s="14"/>
      <c r="E7" s="6"/>
      <c r="F7" s="6"/>
      <c r="G7" s="10">
        <f t="shared" ref="G7:G44" si="0">G6+E7-F7</f>
        <v>8276750</v>
      </c>
      <c r="H7" s="14"/>
    </row>
    <row r="8" spans="1:9" s="13" customFormat="1" x14ac:dyDescent="0.35">
      <c r="A8" s="12">
        <v>4</v>
      </c>
      <c r="B8" s="18"/>
      <c r="C8" s="14"/>
      <c r="D8" s="14"/>
      <c r="E8" s="6"/>
      <c r="F8" s="6"/>
      <c r="G8" s="10">
        <f t="shared" si="0"/>
        <v>8276750</v>
      </c>
      <c r="H8" s="14"/>
    </row>
    <row r="9" spans="1:9" s="13" customFormat="1" x14ac:dyDescent="0.35">
      <c r="A9" s="12">
        <v>5</v>
      </c>
      <c r="B9" s="18"/>
      <c r="C9" s="14"/>
      <c r="D9" s="14"/>
      <c r="E9" s="6"/>
      <c r="F9" s="6"/>
      <c r="G9" s="10">
        <f t="shared" si="0"/>
        <v>8276750</v>
      </c>
      <c r="H9" s="14"/>
    </row>
    <row r="10" spans="1:9" s="13" customFormat="1" x14ac:dyDescent="0.35">
      <c r="A10" s="12">
        <v>6</v>
      </c>
      <c r="B10" s="18"/>
      <c r="C10" s="14"/>
      <c r="D10" s="14"/>
      <c r="E10" s="6"/>
      <c r="F10" s="6"/>
      <c r="G10" s="10">
        <f t="shared" si="0"/>
        <v>8276750</v>
      </c>
      <c r="H10" s="14"/>
    </row>
    <row r="11" spans="1:9" s="13" customFormat="1" x14ac:dyDescent="0.35">
      <c r="A11" s="12">
        <v>7</v>
      </c>
      <c r="B11" s="18"/>
      <c r="C11" s="14"/>
      <c r="D11" s="14"/>
      <c r="E11" s="6"/>
      <c r="F11" s="6"/>
      <c r="G11" s="10">
        <f t="shared" si="0"/>
        <v>8276750</v>
      </c>
      <c r="H11" s="14"/>
    </row>
    <row r="12" spans="1:9" s="13" customFormat="1" x14ac:dyDescent="0.35">
      <c r="A12" s="12">
        <v>8</v>
      </c>
      <c r="B12" s="18"/>
      <c r="C12" s="14"/>
      <c r="D12" s="14"/>
      <c r="E12" s="6"/>
      <c r="F12" s="6"/>
      <c r="G12" s="10">
        <f t="shared" si="0"/>
        <v>8276750</v>
      </c>
      <c r="H12" s="14"/>
    </row>
    <row r="13" spans="1:9" s="13" customFormat="1" x14ac:dyDescent="0.35">
      <c r="A13" s="12">
        <v>9</v>
      </c>
      <c r="B13" s="18"/>
      <c r="C13" s="14"/>
      <c r="D13" s="14"/>
      <c r="E13" s="6"/>
      <c r="F13" s="6"/>
      <c r="G13" s="10">
        <f t="shared" si="0"/>
        <v>8276750</v>
      </c>
      <c r="H13" s="14"/>
    </row>
    <row r="14" spans="1:9" s="13" customFormat="1" x14ac:dyDescent="0.35">
      <c r="A14" s="12">
        <v>10</v>
      </c>
      <c r="B14" s="18"/>
      <c r="C14" s="14"/>
      <c r="D14" s="14"/>
      <c r="E14" s="6"/>
      <c r="F14" s="6"/>
      <c r="G14" s="10">
        <f t="shared" si="0"/>
        <v>8276750</v>
      </c>
      <c r="H14" s="14"/>
    </row>
    <row r="15" spans="1:9" s="13" customFormat="1" x14ac:dyDescent="0.35">
      <c r="A15" s="12">
        <v>11</v>
      </c>
      <c r="B15" s="18"/>
      <c r="C15" s="14"/>
      <c r="D15" s="14"/>
      <c r="E15" s="6"/>
      <c r="F15" s="6"/>
      <c r="G15" s="10">
        <f t="shared" si="0"/>
        <v>8276750</v>
      </c>
      <c r="H15" s="14"/>
    </row>
    <row r="16" spans="1:9" s="13" customFormat="1" x14ac:dyDescent="0.35">
      <c r="A16" s="12">
        <v>12</v>
      </c>
      <c r="B16" s="18"/>
      <c r="C16" s="14"/>
      <c r="D16" s="14"/>
      <c r="E16" s="6"/>
      <c r="F16" s="6"/>
      <c r="G16" s="10">
        <f t="shared" si="0"/>
        <v>8276750</v>
      </c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10">
        <f t="shared" si="0"/>
        <v>8276750</v>
      </c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10">
        <f t="shared" si="0"/>
        <v>8276750</v>
      </c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10">
        <f t="shared" si="0"/>
        <v>8276750</v>
      </c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10">
        <f t="shared" si="0"/>
        <v>8276750</v>
      </c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10">
        <f t="shared" si="0"/>
        <v>8276750</v>
      </c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10">
        <f t="shared" si="0"/>
        <v>8276750</v>
      </c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10">
        <f t="shared" si="0"/>
        <v>8276750</v>
      </c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10">
        <f t="shared" si="0"/>
        <v>8276750</v>
      </c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10">
        <f t="shared" si="0"/>
        <v>8276750</v>
      </c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10">
        <f t="shared" si="0"/>
        <v>8276750</v>
      </c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10">
        <f t="shared" si="0"/>
        <v>8276750</v>
      </c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10">
        <f t="shared" si="0"/>
        <v>8276750</v>
      </c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10">
        <f t="shared" si="0"/>
        <v>8276750</v>
      </c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10">
        <f t="shared" si="0"/>
        <v>8276750</v>
      </c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10">
        <f t="shared" si="0"/>
        <v>8276750</v>
      </c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10">
        <f t="shared" si="0"/>
        <v>8276750</v>
      </c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10">
        <f t="shared" si="0"/>
        <v>8276750</v>
      </c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10">
        <f t="shared" si="0"/>
        <v>8276750</v>
      </c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10">
        <f t="shared" si="0"/>
        <v>8276750</v>
      </c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10">
        <f t="shared" si="0"/>
        <v>8276750</v>
      </c>
      <c r="H36" s="61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10">
        <f t="shared" si="0"/>
        <v>8276750</v>
      </c>
      <c r="H37" s="62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10">
        <f t="shared" si="0"/>
        <v>8276750</v>
      </c>
      <c r="H38" s="62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10">
        <f t="shared" si="0"/>
        <v>8276750</v>
      </c>
      <c r="H39" s="62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10">
        <f t="shared" si="0"/>
        <v>8276750</v>
      </c>
      <c r="H40" s="62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10">
        <f t="shared" si="0"/>
        <v>8276750</v>
      </c>
      <c r="H41" s="62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10">
        <f t="shared" si="0"/>
        <v>8276750</v>
      </c>
      <c r="H42" s="62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10">
        <f t="shared" si="0"/>
        <v>8276750</v>
      </c>
      <c r="H43" s="63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10">
        <f t="shared" si="0"/>
        <v>8276750</v>
      </c>
      <c r="I44" s="16">
        <f>SUM(E7:E44)</f>
        <v>0</v>
      </c>
      <c r="J44" s="13">
        <f>1782500</f>
        <v>1782500</v>
      </c>
      <c r="K44" s="16">
        <f>I44-J44</f>
        <v>-1782500</v>
      </c>
    </row>
    <row r="45" spans="1:11" x14ac:dyDescent="0.35">
      <c r="A45" s="56" t="s">
        <v>5</v>
      </c>
      <c r="B45" s="57"/>
      <c r="C45" s="58"/>
      <c r="D45" s="3"/>
      <c r="E45" s="4">
        <f>SUM(E6:E44)</f>
        <v>0</v>
      </c>
      <c r="F45" s="4">
        <f>SUM(F6:F44)</f>
        <v>0</v>
      </c>
      <c r="G45" s="4">
        <f>F45-E45</f>
        <v>0</v>
      </c>
      <c r="H45" s="1"/>
    </row>
    <row r="46" spans="1:11" x14ac:dyDescent="0.35">
      <c r="A46" s="56" t="s">
        <v>6</v>
      </c>
      <c r="B46" s="57"/>
      <c r="C46" s="58"/>
      <c r="D46" s="3"/>
      <c r="E46" s="4">
        <f>E5+E45</f>
        <v>50739000</v>
      </c>
      <c r="F46" s="4">
        <f t="shared" ref="F46:G46" si="1">F5+F45</f>
        <v>42462250</v>
      </c>
      <c r="G46" s="4">
        <f t="shared" si="1"/>
        <v>8276750</v>
      </c>
      <c r="H46" s="1"/>
    </row>
    <row r="47" spans="1:11" x14ac:dyDescent="0.35">
      <c r="A47" s="56" t="s">
        <v>7</v>
      </c>
      <c r="B47" s="57"/>
      <c r="C47" s="58"/>
      <c r="D47" s="3"/>
      <c r="E47" s="4">
        <f t="shared" ref="E47:G47" si="2">E46</f>
        <v>50739000</v>
      </c>
      <c r="F47" s="4">
        <f t="shared" si="2"/>
        <v>42462250</v>
      </c>
      <c r="G47" s="4">
        <f t="shared" si="2"/>
        <v>8276750</v>
      </c>
      <c r="H47" s="1"/>
      <c r="I47" s="5">
        <f>2477500-1782500</f>
        <v>695000</v>
      </c>
    </row>
    <row r="49" spans="6:8" x14ac:dyDescent="0.35">
      <c r="F49" s="59" t="s">
        <v>34</v>
      </c>
      <c r="G49" s="59"/>
      <c r="H49" s="59"/>
    </row>
    <row r="50" spans="6:8" x14ac:dyDescent="0.35">
      <c r="F50" s="59" t="s">
        <v>12</v>
      </c>
      <c r="G50" s="59"/>
      <c r="H50" s="59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ageMargins left="0.75" right="0.75" top="1" bottom="1" header="0.5" footer="0.5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K50"/>
  <sheetViews>
    <sheetView zoomScale="129" workbookViewId="0">
      <selection activeCell="A3" sqref="A3:H3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7" width="16.54296875" customWidth="1"/>
    <col min="8" max="8" width="11.54296875" customWidth="1"/>
    <col min="9" max="9" width="14.81640625" bestFit="1" customWidth="1"/>
    <col min="11" max="11" width="12.26953125" bestFit="1" customWidth="1"/>
  </cols>
  <sheetData>
    <row r="1" spans="1:9" ht="15.5" x14ac:dyDescent="0.35">
      <c r="A1" s="60" t="s">
        <v>11</v>
      </c>
      <c r="B1" s="60"/>
      <c r="C1" s="60"/>
      <c r="D1" s="60"/>
      <c r="E1" s="60"/>
      <c r="F1" s="60"/>
      <c r="G1" s="60"/>
      <c r="H1" s="60"/>
    </row>
    <row r="2" spans="1:9" ht="15.5" x14ac:dyDescent="0.35">
      <c r="A2" s="60" t="str">
        <f>'Oktober '!A2</f>
        <v>BUKU KAS UMUM</v>
      </c>
      <c r="B2" s="60"/>
      <c r="C2" s="60"/>
      <c r="D2" s="60"/>
      <c r="E2" s="60"/>
      <c r="F2" s="60"/>
      <c r="G2" s="60"/>
      <c r="H2" s="60"/>
    </row>
    <row r="3" spans="1:9" ht="15.5" x14ac:dyDescent="0.35">
      <c r="A3" s="60" t="s">
        <v>32</v>
      </c>
      <c r="B3" s="60"/>
      <c r="C3" s="60"/>
      <c r="D3" s="60"/>
      <c r="E3" s="60"/>
      <c r="F3" s="60"/>
      <c r="G3" s="60"/>
      <c r="H3" s="60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46327</v>
      </c>
      <c r="C5" s="21" t="s">
        <v>13</v>
      </c>
      <c r="D5" s="22"/>
      <c r="E5" s="23">
        <f>'Oktober '!E47</f>
        <v>50739000</v>
      </c>
      <c r="F5" s="23">
        <f>'Oktober '!F47</f>
        <v>42462250</v>
      </c>
      <c r="G5" s="23">
        <f>'Oktober '!G47</f>
        <v>8276750</v>
      </c>
      <c r="H5" s="24"/>
      <c r="I5" s="17">
        <f>G5*5%</f>
        <v>413837.5</v>
      </c>
    </row>
    <row r="6" spans="1:9" s="13" customFormat="1" x14ac:dyDescent="0.35">
      <c r="A6" s="12">
        <v>2</v>
      </c>
      <c r="B6" s="19"/>
      <c r="C6" s="8"/>
      <c r="D6" s="9"/>
      <c r="E6" s="10"/>
      <c r="F6" s="10"/>
      <c r="G6" s="10">
        <f>G5+E6-F6</f>
        <v>8276750</v>
      </c>
      <c r="H6" s="9"/>
    </row>
    <row r="7" spans="1:9" s="13" customFormat="1" x14ac:dyDescent="0.35">
      <c r="A7" s="12">
        <v>3</v>
      </c>
      <c r="B7" s="18"/>
      <c r="C7" s="14"/>
      <c r="D7" s="14"/>
      <c r="E7" s="6"/>
      <c r="F7" s="6"/>
      <c r="G7" s="10">
        <f t="shared" ref="G7:G44" si="0">G6+E7-F7</f>
        <v>8276750</v>
      </c>
      <c r="H7" s="14"/>
    </row>
    <row r="8" spans="1:9" s="13" customFormat="1" x14ac:dyDescent="0.35">
      <c r="A8" s="12">
        <v>4</v>
      </c>
      <c r="B8" s="18"/>
      <c r="C8" s="14"/>
      <c r="D8" s="14"/>
      <c r="E8" s="6"/>
      <c r="F8" s="6"/>
      <c r="G8" s="10">
        <f t="shared" si="0"/>
        <v>8276750</v>
      </c>
      <c r="H8" s="14"/>
    </row>
    <row r="9" spans="1:9" s="13" customFormat="1" x14ac:dyDescent="0.35">
      <c r="A9" s="12">
        <v>5</v>
      </c>
      <c r="B9" s="18"/>
      <c r="C9" s="14"/>
      <c r="D9" s="14"/>
      <c r="E9" s="6"/>
      <c r="F9" s="6"/>
      <c r="G9" s="10">
        <f t="shared" si="0"/>
        <v>8276750</v>
      </c>
      <c r="H9" s="14"/>
    </row>
    <row r="10" spans="1:9" s="13" customFormat="1" x14ac:dyDescent="0.35">
      <c r="A10" s="12">
        <v>6</v>
      </c>
      <c r="B10" s="18"/>
      <c r="C10" s="14"/>
      <c r="D10" s="14"/>
      <c r="E10" s="6"/>
      <c r="F10" s="6"/>
      <c r="G10" s="10">
        <f t="shared" si="0"/>
        <v>8276750</v>
      </c>
      <c r="H10" s="14"/>
    </row>
    <row r="11" spans="1:9" s="13" customFormat="1" x14ac:dyDescent="0.35">
      <c r="A11" s="12">
        <v>7</v>
      </c>
      <c r="B11" s="18"/>
      <c r="C11" s="14"/>
      <c r="D11" s="14"/>
      <c r="E11" s="6"/>
      <c r="F11" s="6"/>
      <c r="G11" s="10">
        <f t="shared" si="0"/>
        <v>8276750</v>
      </c>
      <c r="H11" s="14"/>
    </row>
    <row r="12" spans="1:9" s="13" customFormat="1" x14ac:dyDescent="0.35">
      <c r="A12" s="12">
        <v>8</v>
      </c>
      <c r="B12" s="18"/>
      <c r="C12" s="14"/>
      <c r="D12" s="14"/>
      <c r="E12" s="6"/>
      <c r="F12" s="6"/>
      <c r="G12" s="10">
        <f t="shared" si="0"/>
        <v>8276750</v>
      </c>
      <c r="H12" s="14"/>
    </row>
    <row r="13" spans="1:9" s="13" customFormat="1" x14ac:dyDescent="0.35">
      <c r="A13" s="12">
        <v>9</v>
      </c>
      <c r="B13" s="18"/>
      <c r="C13" s="14"/>
      <c r="D13" s="14"/>
      <c r="E13" s="6"/>
      <c r="F13" s="6"/>
      <c r="G13" s="10">
        <f t="shared" si="0"/>
        <v>8276750</v>
      </c>
      <c r="H13" s="14"/>
    </row>
    <row r="14" spans="1:9" s="13" customFormat="1" x14ac:dyDescent="0.35">
      <c r="A14" s="12">
        <v>10</v>
      </c>
      <c r="B14" s="18"/>
      <c r="C14" s="14"/>
      <c r="D14" s="14"/>
      <c r="E14" s="6"/>
      <c r="F14" s="6"/>
      <c r="G14" s="10">
        <f t="shared" si="0"/>
        <v>8276750</v>
      </c>
      <c r="H14" s="14"/>
    </row>
    <row r="15" spans="1:9" s="13" customFormat="1" x14ac:dyDescent="0.35">
      <c r="A15" s="12">
        <v>11</v>
      </c>
      <c r="B15" s="18"/>
      <c r="C15" s="14"/>
      <c r="D15" s="14"/>
      <c r="E15" s="6"/>
      <c r="F15" s="6"/>
      <c r="G15" s="10">
        <f t="shared" si="0"/>
        <v>8276750</v>
      </c>
      <c r="H15" s="14"/>
    </row>
    <row r="16" spans="1:9" s="13" customFormat="1" x14ac:dyDescent="0.35">
      <c r="A16" s="12">
        <v>12</v>
      </c>
      <c r="B16" s="18"/>
      <c r="C16" s="14"/>
      <c r="D16" s="14"/>
      <c r="E16" s="6"/>
      <c r="F16" s="6"/>
      <c r="G16" s="10">
        <f t="shared" si="0"/>
        <v>8276750</v>
      </c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10">
        <f t="shared" si="0"/>
        <v>8276750</v>
      </c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10">
        <f t="shared" si="0"/>
        <v>8276750</v>
      </c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10">
        <f t="shared" si="0"/>
        <v>8276750</v>
      </c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10">
        <f t="shared" si="0"/>
        <v>8276750</v>
      </c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10">
        <f t="shared" si="0"/>
        <v>8276750</v>
      </c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10">
        <f t="shared" si="0"/>
        <v>8276750</v>
      </c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10">
        <f t="shared" si="0"/>
        <v>8276750</v>
      </c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10">
        <f t="shared" si="0"/>
        <v>8276750</v>
      </c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10">
        <f t="shared" si="0"/>
        <v>8276750</v>
      </c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10">
        <f t="shared" si="0"/>
        <v>8276750</v>
      </c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10">
        <f t="shared" si="0"/>
        <v>8276750</v>
      </c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10">
        <f t="shared" si="0"/>
        <v>8276750</v>
      </c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10">
        <f t="shared" si="0"/>
        <v>8276750</v>
      </c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10">
        <f t="shared" si="0"/>
        <v>8276750</v>
      </c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10">
        <f t="shared" si="0"/>
        <v>8276750</v>
      </c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10">
        <f t="shared" si="0"/>
        <v>8276750</v>
      </c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10">
        <f t="shared" si="0"/>
        <v>8276750</v>
      </c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10">
        <f t="shared" si="0"/>
        <v>8276750</v>
      </c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10">
        <f t="shared" si="0"/>
        <v>8276750</v>
      </c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10">
        <f t="shared" si="0"/>
        <v>8276750</v>
      </c>
      <c r="H36" s="61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10">
        <f t="shared" si="0"/>
        <v>8276750</v>
      </c>
      <c r="H37" s="62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10">
        <f t="shared" si="0"/>
        <v>8276750</v>
      </c>
      <c r="H38" s="62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10">
        <f t="shared" si="0"/>
        <v>8276750</v>
      </c>
      <c r="H39" s="62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10">
        <f t="shared" si="0"/>
        <v>8276750</v>
      </c>
      <c r="H40" s="62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10">
        <f t="shared" si="0"/>
        <v>8276750</v>
      </c>
      <c r="H41" s="62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10">
        <f t="shared" si="0"/>
        <v>8276750</v>
      </c>
      <c r="H42" s="62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10">
        <f t="shared" si="0"/>
        <v>8276750</v>
      </c>
      <c r="H43" s="63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10">
        <f t="shared" si="0"/>
        <v>8276750</v>
      </c>
      <c r="I44" s="16">
        <f>SUM(E7:E44)</f>
        <v>0</v>
      </c>
      <c r="J44" s="13">
        <f>1782500</f>
        <v>1782500</v>
      </c>
      <c r="K44" s="16">
        <f>I44-J44</f>
        <v>-1782500</v>
      </c>
    </row>
    <row r="45" spans="1:11" x14ac:dyDescent="0.35">
      <c r="A45" s="56" t="s">
        <v>5</v>
      </c>
      <c r="B45" s="57"/>
      <c r="C45" s="58"/>
      <c r="D45" s="3"/>
      <c r="E45" s="4">
        <f>SUM(E6:E44)</f>
        <v>0</v>
      </c>
      <c r="F45" s="4">
        <f>SUM(F6:F44)</f>
        <v>0</v>
      </c>
      <c r="G45" s="4">
        <f>F45-E45</f>
        <v>0</v>
      </c>
      <c r="H45" s="1"/>
    </row>
    <row r="46" spans="1:11" x14ac:dyDescent="0.35">
      <c r="A46" s="56" t="s">
        <v>6</v>
      </c>
      <c r="B46" s="57"/>
      <c r="C46" s="58"/>
      <c r="D46" s="3"/>
      <c r="E46" s="4">
        <f>E5+E45</f>
        <v>50739000</v>
      </c>
      <c r="F46" s="4">
        <f t="shared" ref="F46:G46" si="1">F5+F45</f>
        <v>42462250</v>
      </c>
      <c r="G46" s="4">
        <f t="shared" si="1"/>
        <v>8276750</v>
      </c>
      <c r="H46" s="1"/>
    </row>
    <row r="47" spans="1:11" x14ac:dyDescent="0.35">
      <c r="A47" s="56" t="s">
        <v>7</v>
      </c>
      <c r="B47" s="57"/>
      <c r="C47" s="58"/>
      <c r="D47" s="3"/>
      <c r="E47" s="4">
        <f t="shared" ref="E47:G47" si="2">E46</f>
        <v>50739000</v>
      </c>
      <c r="F47" s="4">
        <f t="shared" si="2"/>
        <v>42462250</v>
      </c>
      <c r="G47" s="4">
        <f t="shared" si="2"/>
        <v>8276750</v>
      </c>
      <c r="H47" s="1"/>
      <c r="I47" s="5">
        <f>2477500-1782500</f>
        <v>695000</v>
      </c>
    </row>
    <row r="49" spans="6:8" x14ac:dyDescent="0.35">
      <c r="F49" s="59" t="s">
        <v>33</v>
      </c>
      <c r="G49" s="59"/>
      <c r="H49" s="59"/>
    </row>
    <row r="50" spans="6:8" x14ac:dyDescent="0.35">
      <c r="F50" s="59" t="s">
        <v>12</v>
      </c>
      <c r="G50" s="59"/>
      <c r="H50" s="59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ageMargins left="0.75" right="0.75" top="1" bottom="1" header="0.5" footer="0.5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K50"/>
  <sheetViews>
    <sheetView zoomScale="129" workbookViewId="0">
      <selection activeCell="A3" sqref="A3:H3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7" width="16.54296875" customWidth="1"/>
    <col min="8" max="8" width="11.54296875" customWidth="1"/>
    <col min="9" max="9" width="14.81640625" bestFit="1" customWidth="1"/>
    <col min="11" max="11" width="12.26953125" bestFit="1" customWidth="1"/>
  </cols>
  <sheetData>
    <row r="1" spans="1:9" ht="15.5" x14ac:dyDescent="0.35">
      <c r="A1" s="60" t="s">
        <v>11</v>
      </c>
      <c r="B1" s="60"/>
      <c r="C1" s="60"/>
      <c r="D1" s="60"/>
      <c r="E1" s="60"/>
      <c r="F1" s="60"/>
      <c r="G1" s="60"/>
      <c r="H1" s="60"/>
    </row>
    <row r="2" spans="1:9" ht="15.5" x14ac:dyDescent="0.35">
      <c r="A2" s="60" t="str">
        <f>'Nopember '!A2</f>
        <v>BUKU KAS UMUM</v>
      </c>
      <c r="B2" s="60"/>
      <c r="C2" s="60"/>
      <c r="D2" s="60"/>
      <c r="E2" s="60"/>
      <c r="F2" s="60"/>
      <c r="G2" s="60"/>
      <c r="H2" s="60"/>
    </row>
    <row r="3" spans="1:9" ht="15.5" x14ac:dyDescent="0.35">
      <c r="A3" s="60" t="s">
        <v>35</v>
      </c>
      <c r="B3" s="60"/>
      <c r="C3" s="60"/>
      <c r="D3" s="60"/>
      <c r="E3" s="60"/>
      <c r="F3" s="60"/>
      <c r="G3" s="60"/>
      <c r="H3" s="60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46357</v>
      </c>
      <c r="C5" s="21" t="s">
        <v>13</v>
      </c>
      <c r="D5" s="22"/>
      <c r="E5" s="23">
        <f>'Oktober '!E47</f>
        <v>50739000</v>
      </c>
      <c r="F5" s="23">
        <f>'Oktober '!F47</f>
        <v>42462250</v>
      </c>
      <c r="G5" s="23">
        <f>'Oktober '!G47</f>
        <v>8276750</v>
      </c>
      <c r="H5" s="24"/>
      <c r="I5" s="17">
        <f>G5*5%</f>
        <v>413837.5</v>
      </c>
    </row>
    <row r="6" spans="1:9" s="13" customFormat="1" x14ac:dyDescent="0.35">
      <c r="A6" s="12">
        <v>2</v>
      </c>
      <c r="B6" s="19"/>
      <c r="C6" s="8"/>
      <c r="D6" s="9"/>
      <c r="E6" s="10"/>
      <c r="F6" s="10"/>
      <c r="G6" s="10">
        <f>G5+E6-F6</f>
        <v>8276750</v>
      </c>
      <c r="H6" s="9"/>
    </row>
    <row r="7" spans="1:9" s="13" customFormat="1" x14ac:dyDescent="0.35">
      <c r="A7" s="12">
        <v>3</v>
      </c>
      <c r="B7" s="18"/>
      <c r="C7" s="14"/>
      <c r="D7" s="14"/>
      <c r="E7" s="6"/>
      <c r="F7" s="6"/>
      <c r="G7" s="10">
        <f t="shared" ref="G7:G44" si="0">G6+E7-F7</f>
        <v>8276750</v>
      </c>
      <c r="H7" s="14"/>
    </row>
    <row r="8" spans="1:9" s="13" customFormat="1" x14ac:dyDescent="0.35">
      <c r="A8" s="12">
        <v>4</v>
      </c>
      <c r="B8" s="18"/>
      <c r="C8" s="14"/>
      <c r="D8" s="14"/>
      <c r="E8" s="6"/>
      <c r="F8" s="6"/>
      <c r="G8" s="10">
        <f t="shared" si="0"/>
        <v>8276750</v>
      </c>
      <c r="H8" s="14"/>
    </row>
    <row r="9" spans="1:9" s="13" customFormat="1" x14ac:dyDescent="0.35">
      <c r="A9" s="12">
        <v>5</v>
      </c>
      <c r="B9" s="18"/>
      <c r="C9" s="14"/>
      <c r="D9" s="14"/>
      <c r="E9" s="6"/>
      <c r="F9" s="6"/>
      <c r="G9" s="10">
        <f t="shared" si="0"/>
        <v>8276750</v>
      </c>
      <c r="H9" s="14"/>
    </row>
    <row r="10" spans="1:9" s="13" customFormat="1" x14ac:dyDescent="0.35">
      <c r="A10" s="12">
        <v>6</v>
      </c>
      <c r="B10" s="18"/>
      <c r="C10" s="14"/>
      <c r="D10" s="14"/>
      <c r="E10" s="6"/>
      <c r="F10" s="6"/>
      <c r="G10" s="10">
        <f t="shared" si="0"/>
        <v>8276750</v>
      </c>
      <c r="H10" s="14"/>
    </row>
    <row r="11" spans="1:9" s="13" customFormat="1" x14ac:dyDescent="0.35">
      <c r="A11" s="12">
        <v>7</v>
      </c>
      <c r="B11" s="18"/>
      <c r="C11" s="14"/>
      <c r="D11" s="14"/>
      <c r="E11" s="6"/>
      <c r="F11" s="6"/>
      <c r="G11" s="10">
        <f t="shared" si="0"/>
        <v>8276750</v>
      </c>
      <c r="H11" s="14"/>
    </row>
    <row r="12" spans="1:9" s="13" customFormat="1" x14ac:dyDescent="0.35">
      <c r="A12" s="12">
        <v>8</v>
      </c>
      <c r="B12" s="18"/>
      <c r="C12" s="14"/>
      <c r="D12" s="14"/>
      <c r="E12" s="6"/>
      <c r="F12" s="6"/>
      <c r="G12" s="10">
        <f t="shared" si="0"/>
        <v>8276750</v>
      </c>
      <c r="H12" s="14"/>
    </row>
    <row r="13" spans="1:9" s="13" customFormat="1" x14ac:dyDescent="0.35">
      <c r="A13" s="12">
        <v>9</v>
      </c>
      <c r="B13" s="18"/>
      <c r="C13" s="14"/>
      <c r="D13" s="14"/>
      <c r="E13" s="6"/>
      <c r="F13" s="6"/>
      <c r="G13" s="10">
        <f t="shared" si="0"/>
        <v>8276750</v>
      </c>
      <c r="H13" s="14"/>
    </row>
    <row r="14" spans="1:9" s="13" customFormat="1" x14ac:dyDescent="0.35">
      <c r="A14" s="12">
        <v>10</v>
      </c>
      <c r="B14" s="18"/>
      <c r="C14" s="14"/>
      <c r="D14" s="14"/>
      <c r="E14" s="6"/>
      <c r="F14" s="6"/>
      <c r="G14" s="10">
        <f t="shared" si="0"/>
        <v>8276750</v>
      </c>
      <c r="H14" s="14"/>
    </row>
    <row r="15" spans="1:9" s="13" customFormat="1" x14ac:dyDescent="0.35">
      <c r="A15" s="12">
        <v>11</v>
      </c>
      <c r="B15" s="18"/>
      <c r="C15" s="14"/>
      <c r="D15" s="14"/>
      <c r="E15" s="6"/>
      <c r="F15" s="6"/>
      <c r="G15" s="10">
        <f t="shared" si="0"/>
        <v>8276750</v>
      </c>
      <c r="H15" s="14"/>
    </row>
    <row r="16" spans="1:9" s="13" customFormat="1" x14ac:dyDescent="0.35">
      <c r="A16" s="12">
        <v>12</v>
      </c>
      <c r="B16" s="18"/>
      <c r="C16" s="14"/>
      <c r="D16" s="14"/>
      <c r="E16" s="6"/>
      <c r="F16" s="6"/>
      <c r="G16" s="10">
        <f t="shared" si="0"/>
        <v>8276750</v>
      </c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10">
        <f t="shared" si="0"/>
        <v>8276750</v>
      </c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10">
        <f t="shared" si="0"/>
        <v>8276750</v>
      </c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10">
        <f t="shared" si="0"/>
        <v>8276750</v>
      </c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10">
        <f t="shared" si="0"/>
        <v>8276750</v>
      </c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10">
        <f t="shared" si="0"/>
        <v>8276750</v>
      </c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10">
        <f t="shared" si="0"/>
        <v>8276750</v>
      </c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10">
        <f t="shared" si="0"/>
        <v>8276750</v>
      </c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10">
        <f t="shared" si="0"/>
        <v>8276750</v>
      </c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10">
        <f t="shared" si="0"/>
        <v>8276750</v>
      </c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10">
        <f t="shared" si="0"/>
        <v>8276750</v>
      </c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10">
        <f t="shared" si="0"/>
        <v>8276750</v>
      </c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10">
        <f t="shared" si="0"/>
        <v>8276750</v>
      </c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10">
        <f t="shared" si="0"/>
        <v>8276750</v>
      </c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10">
        <f t="shared" si="0"/>
        <v>8276750</v>
      </c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10">
        <f t="shared" si="0"/>
        <v>8276750</v>
      </c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10">
        <f t="shared" si="0"/>
        <v>8276750</v>
      </c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10">
        <f t="shared" si="0"/>
        <v>8276750</v>
      </c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10">
        <f t="shared" si="0"/>
        <v>8276750</v>
      </c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10">
        <f t="shared" si="0"/>
        <v>8276750</v>
      </c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10">
        <f t="shared" si="0"/>
        <v>8276750</v>
      </c>
      <c r="H36" s="61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10">
        <f t="shared" si="0"/>
        <v>8276750</v>
      </c>
      <c r="H37" s="62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10">
        <f t="shared" si="0"/>
        <v>8276750</v>
      </c>
      <c r="H38" s="62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10">
        <f t="shared" si="0"/>
        <v>8276750</v>
      </c>
      <c r="H39" s="62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10">
        <f t="shared" si="0"/>
        <v>8276750</v>
      </c>
      <c r="H40" s="62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10">
        <f t="shared" si="0"/>
        <v>8276750</v>
      </c>
      <c r="H41" s="62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10">
        <f t="shared" si="0"/>
        <v>8276750</v>
      </c>
      <c r="H42" s="62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10">
        <f t="shared" si="0"/>
        <v>8276750</v>
      </c>
      <c r="H43" s="63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10">
        <f t="shared" si="0"/>
        <v>8276750</v>
      </c>
      <c r="I44" s="16">
        <f>SUM(E7:E44)</f>
        <v>0</v>
      </c>
      <c r="J44" s="13">
        <f>1782500</f>
        <v>1782500</v>
      </c>
      <c r="K44" s="16">
        <f>I44-J44</f>
        <v>-1782500</v>
      </c>
    </row>
    <row r="45" spans="1:11" x14ac:dyDescent="0.35">
      <c r="A45" s="56" t="s">
        <v>5</v>
      </c>
      <c r="B45" s="57"/>
      <c r="C45" s="58"/>
      <c r="D45" s="3"/>
      <c r="E45" s="4">
        <f>SUM(E6:E44)</f>
        <v>0</v>
      </c>
      <c r="F45" s="4">
        <f>SUM(F6:F44)</f>
        <v>0</v>
      </c>
      <c r="G45" s="4">
        <f>F45-E45</f>
        <v>0</v>
      </c>
      <c r="H45" s="1"/>
    </row>
    <row r="46" spans="1:11" x14ac:dyDescent="0.35">
      <c r="A46" s="56" t="s">
        <v>6</v>
      </c>
      <c r="B46" s="57"/>
      <c r="C46" s="58"/>
      <c r="D46" s="3"/>
      <c r="E46" s="4">
        <f>E5+E45</f>
        <v>50739000</v>
      </c>
      <c r="F46" s="4">
        <f t="shared" ref="F46:G46" si="1">F5+F45</f>
        <v>42462250</v>
      </c>
      <c r="G46" s="4">
        <f t="shared" si="1"/>
        <v>8276750</v>
      </c>
      <c r="H46" s="1"/>
    </row>
    <row r="47" spans="1:11" x14ac:dyDescent="0.35">
      <c r="A47" s="56" t="s">
        <v>7</v>
      </c>
      <c r="B47" s="57"/>
      <c r="C47" s="58"/>
      <c r="D47" s="3"/>
      <c r="E47" s="4">
        <f t="shared" ref="E47:G47" si="2">E46</f>
        <v>50739000</v>
      </c>
      <c r="F47" s="4">
        <f t="shared" si="2"/>
        <v>42462250</v>
      </c>
      <c r="G47" s="4">
        <f t="shared" si="2"/>
        <v>8276750</v>
      </c>
      <c r="H47" s="1"/>
      <c r="I47" s="5">
        <f>2477500-1782500</f>
        <v>695000</v>
      </c>
    </row>
    <row r="49" spans="6:8" x14ac:dyDescent="0.35">
      <c r="F49" s="59" t="s">
        <v>36</v>
      </c>
      <c r="G49" s="59"/>
      <c r="H49" s="59"/>
    </row>
    <row r="50" spans="6:8" x14ac:dyDescent="0.35">
      <c r="F50" s="59" t="s">
        <v>12</v>
      </c>
      <c r="G50" s="59"/>
      <c r="H50" s="59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12</vt:i4>
      </vt:variant>
    </vt:vector>
  </HeadingPairs>
  <TitlesOfParts>
    <vt:vector size="12" baseType="lpstr">
      <vt:lpstr>Januari</vt:lpstr>
      <vt:lpstr>Pebruari</vt:lpstr>
      <vt:lpstr>Maret</vt:lpstr>
      <vt:lpstr>April</vt:lpstr>
      <vt:lpstr>Mei</vt:lpstr>
      <vt:lpstr>Juni </vt:lpstr>
      <vt:lpstr>Juli</vt:lpstr>
      <vt:lpstr>Agustus</vt:lpstr>
      <vt:lpstr>September</vt:lpstr>
      <vt:lpstr>Oktober </vt:lpstr>
      <vt:lpstr>Nopember 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satijo sip</cp:lastModifiedBy>
  <cp:lastPrinted>2026-02-03T08:21:04Z</cp:lastPrinted>
  <dcterms:created xsi:type="dcterms:W3CDTF">2026-02-01T04:03:31Z</dcterms:created>
  <dcterms:modified xsi:type="dcterms:W3CDTF">2026-07-01T07:57:55Z</dcterms:modified>
</cp:coreProperties>
</file>